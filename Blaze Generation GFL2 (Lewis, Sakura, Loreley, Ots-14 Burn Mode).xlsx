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Computer\Desktop\Gfl\"/>
    </mc:Choice>
  </mc:AlternateContent>
  <xr:revisionPtr revIDLastSave="0" documentId="13_ncr:1_{3376295C-BF13-488A-98B9-FA4EA39F7DCB}" xr6:coauthVersionLast="46" xr6:coauthVersionMax="46" xr10:uidLastSave="{00000000-0000-0000-0000-000000000000}"/>
  <bookViews>
    <workbookView xWindow="-120" yWindow="-120" windowWidth="20730" windowHeight="11310" xr2:uid="{8FB761D4-5B74-4C74-A562-0F50AA1F45AD}"/>
  </bookViews>
  <sheets>
    <sheet name="Blaze Calculations" sheetId="7" r:id="rId1"/>
    <sheet name="Blaze Stacking Data" sheetId="5" r:id="rId2"/>
    <sheet name="Sakura Conf. Index" sheetId="2" r:id="rId3"/>
    <sheet name="Lewis Conf. Index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3" l="1"/>
  <c r="C27" i="3"/>
  <c r="C26" i="3"/>
  <c r="K42" i="5"/>
  <c r="K26" i="5"/>
  <c r="K23" i="5"/>
  <c r="N23" i="5" s="1"/>
  <c r="K25" i="5"/>
  <c r="K24" i="5"/>
  <c r="K22" i="5"/>
  <c r="N22" i="5" s="1"/>
  <c r="K21" i="5"/>
  <c r="N24" i="5"/>
  <c r="I10" i="7"/>
  <c r="I11" i="7"/>
  <c r="I12" i="7"/>
  <c r="I13" i="7"/>
  <c r="I14" i="7"/>
  <c r="I15" i="7"/>
  <c r="I9" i="7"/>
  <c r="H10" i="7"/>
  <c r="H11" i="7"/>
  <c r="H12" i="7"/>
  <c r="H13" i="7"/>
  <c r="H14" i="7"/>
  <c r="H15" i="7"/>
  <c r="H9" i="7"/>
  <c r="M27" i="5"/>
  <c r="N21" i="5"/>
  <c r="N25" i="5"/>
  <c r="N26" i="5"/>
  <c r="N20" i="5"/>
  <c r="O10" i="5"/>
  <c r="N11" i="5"/>
  <c r="N12" i="5"/>
  <c r="N13" i="5"/>
  <c r="N14" i="5"/>
  <c r="N15" i="5"/>
  <c r="N16" i="5"/>
  <c r="N10" i="5"/>
  <c r="M17" i="5"/>
  <c r="B5" i="7"/>
  <c r="J5" i="7"/>
  <c r="F5" i="7"/>
  <c r="J25" i="3"/>
  <c r="H5" i="7"/>
  <c r="E10" i="7"/>
  <c r="E11" i="7"/>
  <c r="E13" i="7"/>
  <c r="E14" i="7"/>
  <c r="E12" i="7"/>
  <c r="E15" i="7"/>
  <c r="L16" i="2"/>
  <c r="L25" i="2"/>
  <c r="N11" i="2"/>
  <c r="M48" i="2"/>
  <c r="M49" i="2"/>
  <c r="M44" i="2"/>
  <c r="M45" i="2"/>
  <c r="M46" i="2"/>
  <c r="M47" i="2"/>
  <c r="M43" i="2"/>
  <c r="B10" i="7"/>
  <c r="B11" i="7"/>
  <c r="G42" i="5"/>
  <c r="J15" i="3"/>
  <c r="F16" i="3"/>
  <c r="E16" i="3"/>
  <c r="W41" i="2"/>
  <c r="W40" i="2"/>
  <c r="Y40" i="2" s="1"/>
  <c r="W39" i="2"/>
  <c r="Y39" i="2" s="1"/>
  <c r="W38" i="2"/>
  <c r="Y38" i="2" s="1"/>
  <c r="W37" i="2"/>
  <c r="Y37" i="2" s="1"/>
  <c r="W36" i="2"/>
  <c r="Y36" i="2" s="1"/>
  <c r="W35" i="2"/>
  <c r="Y35" i="2" s="1"/>
  <c r="AA35" i="2" s="1"/>
  <c r="AB35" i="2" s="1"/>
  <c r="M35" i="2"/>
  <c r="W10" i="2"/>
  <c r="X10" i="2" s="1"/>
  <c r="Y41" i="2"/>
  <c r="R36" i="2"/>
  <c r="V36" i="2" s="1"/>
  <c r="R37" i="2" s="1"/>
  <c r="V37" i="2" s="1"/>
  <c r="R38" i="2" s="1"/>
  <c r="V38" i="2" s="1"/>
  <c r="R39" i="2" s="1"/>
  <c r="V39" i="2" s="1"/>
  <c r="R40" i="2" s="1"/>
  <c r="V40" i="2" s="1"/>
  <c r="R41" i="2" s="1"/>
  <c r="V41" i="2" s="1"/>
  <c r="V35" i="2"/>
  <c r="W31" i="2"/>
  <c r="X31" i="2" s="1"/>
  <c r="W30" i="2"/>
  <c r="X30" i="2" s="1"/>
  <c r="W29" i="2"/>
  <c r="X29" i="2" s="1"/>
  <c r="W28" i="2"/>
  <c r="X28" i="2" s="1"/>
  <c r="W27" i="2"/>
  <c r="X27" i="2" s="1"/>
  <c r="W26" i="2"/>
  <c r="X26" i="2" s="1"/>
  <c r="R26" i="2"/>
  <c r="V26" i="2" s="1"/>
  <c r="R27" i="2" s="1"/>
  <c r="V27" i="2" s="1"/>
  <c r="R28" i="2" s="1"/>
  <c r="V28" i="2" s="1"/>
  <c r="R29" i="2" s="1"/>
  <c r="V29" i="2" s="1"/>
  <c r="R30" i="2" s="1"/>
  <c r="V30" i="2" s="1"/>
  <c r="R31" i="2" s="1"/>
  <c r="V31" i="2" s="1"/>
  <c r="W25" i="2"/>
  <c r="X25" i="2" s="1"/>
  <c r="Z25" i="2" s="1"/>
  <c r="V25" i="2"/>
  <c r="W21" i="2"/>
  <c r="X21" i="2" s="1"/>
  <c r="W20" i="2"/>
  <c r="X20" i="2" s="1"/>
  <c r="W19" i="2"/>
  <c r="X19" i="2" s="1"/>
  <c r="W18" i="2"/>
  <c r="X18" i="2" s="1"/>
  <c r="W17" i="2"/>
  <c r="X17" i="2" s="1"/>
  <c r="W16" i="2"/>
  <c r="X16" i="2" s="1"/>
  <c r="R16" i="2"/>
  <c r="V16" i="2" s="1"/>
  <c r="R17" i="2" s="1"/>
  <c r="V17" i="2" s="1"/>
  <c r="R18" i="2" s="1"/>
  <c r="V18" i="2" s="1"/>
  <c r="R19" i="2" s="1"/>
  <c r="V19" i="2" s="1"/>
  <c r="R20" i="2" s="1"/>
  <c r="V20" i="2" s="1"/>
  <c r="R21" i="2" s="1"/>
  <c r="V21" i="2" s="1"/>
  <c r="W15" i="2"/>
  <c r="X15" i="2" s="1"/>
  <c r="Z15" i="2" s="1"/>
  <c r="V15" i="2"/>
  <c r="W11" i="2"/>
  <c r="X11" i="2" s="1"/>
  <c r="W9" i="2"/>
  <c r="X9" i="2" s="1"/>
  <c r="W8" i="2"/>
  <c r="X8" i="2" s="1"/>
  <c r="W7" i="2"/>
  <c r="X7" i="2" s="1"/>
  <c r="W6" i="2"/>
  <c r="X6" i="2" s="1"/>
  <c r="R6" i="2"/>
  <c r="V6" i="2" s="1"/>
  <c r="R7" i="2" s="1"/>
  <c r="V7" i="2" s="1"/>
  <c r="R8" i="2" s="1"/>
  <c r="V8" i="2" s="1"/>
  <c r="R9" i="2" s="1"/>
  <c r="V9" i="2" s="1"/>
  <c r="R10" i="2" s="1"/>
  <c r="V10" i="2" s="1"/>
  <c r="R11" i="2" s="1"/>
  <c r="V11" i="2" s="1"/>
  <c r="W5" i="2"/>
  <c r="X5" i="2" s="1"/>
  <c r="Z5" i="2" s="1"/>
  <c r="V5" i="2"/>
  <c r="I17" i="7" l="1"/>
  <c r="I16" i="7"/>
  <c r="AA36" i="2"/>
  <c r="AA5" i="2"/>
  <c r="Z6" i="2"/>
  <c r="AA15" i="2"/>
  <c r="Z16" i="2"/>
  <c r="Z26" i="2"/>
  <c r="AA25" i="2"/>
  <c r="AA37" i="2" l="1"/>
  <c r="AB36" i="2"/>
  <c r="AA26" i="2"/>
  <c r="Z27" i="2"/>
  <c r="AA16" i="2"/>
  <c r="Z17" i="2"/>
  <c r="AA6" i="2"/>
  <c r="Z7" i="2"/>
  <c r="AA38" i="2" l="1"/>
  <c r="AB37" i="2"/>
  <c r="Z8" i="2"/>
  <c r="AA7" i="2"/>
  <c r="AA17" i="2"/>
  <c r="Z18" i="2"/>
  <c r="Z28" i="2"/>
  <c r="AA27" i="2"/>
  <c r="AA39" i="2" l="1"/>
  <c r="AB38" i="2"/>
  <c r="AA28" i="2"/>
  <c r="Z29" i="2"/>
  <c r="Z19" i="2"/>
  <c r="AA18" i="2"/>
  <c r="Z9" i="2"/>
  <c r="AA8" i="2"/>
  <c r="AA40" i="2" l="1"/>
  <c r="AB39" i="2"/>
  <c r="AA9" i="2"/>
  <c r="Z10" i="2"/>
  <c r="AA29" i="2"/>
  <c r="Z30" i="2"/>
  <c r="Z20" i="2"/>
  <c r="AA19" i="2"/>
  <c r="AA41" i="2" l="1"/>
  <c r="AB41" i="2" s="1"/>
  <c r="AB40" i="2"/>
  <c r="AA30" i="2"/>
  <c r="Z31" i="2"/>
  <c r="AA31" i="2" s="1"/>
  <c r="AA10" i="2"/>
  <c r="Z11" i="2"/>
  <c r="AA11" i="2" s="1"/>
  <c r="AA20" i="2"/>
  <c r="Z21" i="2"/>
  <c r="AA21" i="2" s="1"/>
  <c r="S25" i="3"/>
  <c r="T25" i="3" s="1"/>
  <c r="S26" i="3"/>
  <c r="N7" i="3"/>
  <c r="O35" i="2"/>
  <c r="M36" i="2"/>
  <c r="M37" i="2"/>
  <c r="M38" i="2"/>
  <c r="M39" i="2"/>
  <c r="M40" i="2"/>
  <c r="M41" i="2"/>
  <c r="G15" i="7"/>
  <c r="G14" i="7"/>
  <c r="G13" i="7"/>
  <c r="G12" i="7"/>
  <c r="G11" i="7"/>
  <c r="G10" i="7"/>
  <c r="G9" i="7"/>
  <c r="E9" i="7"/>
  <c r="E17" i="7" s="1"/>
  <c r="C9" i="7"/>
  <c r="F10" i="7"/>
  <c r="F11" i="7"/>
  <c r="F12" i="7"/>
  <c r="F13" i="7"/>
  <c r="F14" i="7"/>
  <c r="F15" i="7"/>
  <c r="F9" i="7"/>
  <c r="D15" i="7"/>
  <c r="D14" i="7"/>
  <c r="D13" i="7"/>
  <c r="D12" i="7"/>
  <c r="D11" i="7"/>
  <c r="D10" i="7"/>
  <c r="D9" i="7"/>
  <c r="B15" i="7"/>
  <c r="B14" i="7"/>
  <c r="B13" i="7"/>
  <c r="B12" i="7"/>
  <c r="B9" i="7"/>
  <c r="N36" i="5"/>
  <c r="I49" i="5"/>
  <c r="K48" i="5"/>
  <c r="K45" i="5"/>
  <c r="K43" i="5"/>
  <c r="K47" i="5"/>
  <c r="K46" i="5"/>
  <c r="K44" i="5"/>
  <c r="G38" i="5"/>
  <c r="K37" i="5"/>
  <c r="N37" i="5" s="1"/>
  <c r="K36" i="5"/>
  <c r="K35" i="5"/>
  <c r="N35" i="5" s="1"/>
  <c r="K34" i="5"/>
  <c r="N34" i="5" s="1"/>
  <c r="K33" i="5"/>
  <c r="K32" i="5"/>
  <c r="N32" i="5" s="1"/>
  <c r="K31" i="5"/>
  <c r="I38" i="5"/>
  <c r="N33" i="5"/>
  <c r="K20" i="5"/>
  <c r="O20" i="5" s="1"/>
  <c r="I27" i="5"/>
  <c r="G27" i="5"/>
  <c r="G17" i="5"/>
  <c r="I17" i="5"/>
  <c r="K16" i="5"/>
  <c r="K13" i="5"/>
  <c r="K11" i="5"/>
  <c r="K10" i="5"/>
  <c r="J24" i="3"/>
  <c r="N24" i="3"/>
  <c r="M14" i="3"/>
  <c r="M15" i="3" s="1"/>
  <c r="N5" i="3"/>
  <c r="N6" i="3"/>
  <c r="N8" i="3"/>
  <c r="N9" i="3"/>
  <c r="N10" i="3"/>
  <c r="N4" i="3"/>
  <c r="M6" i="3"/>
  <c r="M7" i="3"/>
  <c r="M8" i="3" s="1"/>
  <c r="M9" i="3" s="1"/>
  <c r="M10" i="3" s="1"/>
  <c r="M5" i="3"/>
  <c r="M4" i="3"/>
  <c r="M24" i="3"/>
  <c r="F24" i="3"/>
  <c r="L20" i="3"/>
  <c r="L19" i="3"/>
  <c r="L18" i="3"/>
  <c r="L17" i="3"/>
  <c r="L16" i="3"/>
  <c r="L15" i="3"/>
  <c r="L14" i="3"/>
  <c r="F14" i="3"/>
  <c r="J14" i="3" s="1"/>
  <c r="E15" i="3" s="1"/>
  <c r="F15" i="3" s="1"/>
  <c r="J16" i="3" s="1"/>
  <c r="E17" i="3" s="1"/>
  <c r="F17" i="3" s="1"/>
  <c r="J17" i="3" s="1"/>
  <c r="E18" i="3" s="1"/>
  <c r="F18" i="3" s="1"/>
  <c r="J18" i="3" s="1"/>
  <c r="E19" i="3" s="1"/>
  <c r="F19" i="3" s="1"/>
  <c r="J19" i="3" s="1"/>
  <c r="E20" i="3" s="1"/>
  <c r="F20" i="3" s="1"/>
  <c r="J20" i="3" s="1"/>
  <c r="L5" i="3"/>
  <c r="L6" i="3"/>
  <c r="L7" i="3"/>
  <c r="L8" i="3"/>
  <c r="L9" i="3"/>
  <c r="L10" i="3"/>
  <c r="L4" i="3"/>
  <c r="J7" i="3"/>
  <c r="J4" i="3"/>
  <c r="E5" i="3" s="1"/>
  <c r="F5" i="3" s="1"/>
  <c r="J5" i="3" s="1"/>
  <c r="E6" i="3" s="1"/>
  <c r="F6" i="3" s="1"/>
  <c r="J6" i="3" s="1"/>
  <c r="E7" i="3" s="1"/>
  <c r="F7" i="3" s="1"/>
  <c r="F4" i="3"/>
  <c r="J35" i="2"/>
  <c r="F36" i="2" s="1"/>
  <c r="J36" i="2" s="1"/>
  <c r="F37" i="2" s="1"/>
  <c r="J37" i="2" s="1"/>
  <c r="F38" i="2" s="1"/>
  <c r="J38" i="2" s="1"/>
  <c r="F39" i="2" s="1"/>
  <c r="J39" i="2" s="1"/>
  <c r="F40" i="2" s="1"/>
  <c r="J40" i="2" s="1"/>
  <c r="F41" i="2" s="1"/>
  <c r="J41" i="2" s="1"/>
  <c r="L11" i="2"/>
  <c r="L10" i="2"/>
  <c r="L9" i="2"/>
  <c r="L8" i="2"/>
  <c r="L7" i="2"/>
  <c r="L6" i="2"/>
  <c r="L5" i="2"/>
  <c r="N5" i="2" s="1"/>
  <c r="N6" i="2" s="1"/>
  <c r="J5" i="2"/>
  <c r="F6" i="2" s="1"/>
  <c r="L31" i="2"/>
  <c r="L30" i="2"/>
  <c r="L29" i="2"/>
  <c r="L28" i="2"/>
  <c r="L27" i="2"/>
  <c r="L26" i="2"/>
  <c r="N25" i="2"/>
  <c r="N26" i="2" s="1"/>
  <c r="N27" i="2" s="1"/>
  <c r="N28" i="2" s="1"/>
  <c r="N29" i="2" s="1"/>
  <c r="N30" i="2" s="1"/>
  <c r="N31" i="2" s="1"/>
  <c r="J25" i="2"/>
  <c r="F26" i="2" s="1"/>
  <c r="J26" i="2" s="1"/>
  <c r="F27" i="2" s="1"/>
  <c r="J27" i="2" s="1"/>
  <c r="F28" i="2" s="1"/>
  <c r="J28" i="2" s="1"/>
  <c r="F29" i="2" s="1"/>
  <c r="J29" i="2" s="1"/>
  <c r="F30" i="2" s="1"/>
  <c r="J30" i="2" s="1"/>
  <c r="F31" i="2" s="1"/>
  <c r="J31" i="2" s="1"/>
  <c r="L17" i="2"/>
  <c r="L18" i="2"/>
  <c r="L19" i="2"/>
  <c r="L20" i="2"/>
  <c r="L21" i="2"/>
  <c r="L15" i="2"/>
  <c r="N15" i="2" s="1"/>
  <c r="N16" i="2" s="1"/>
  <c r="N17" i="2" s="1"/>
  <c r="N18" i="2" s="1"/>
  <c r="N19" i="2" s="1"/>
  <c r="N20" i="2" s="1"/>
  <c r="N21" i="2" s="1"/>
  <c r="J15" i="2"/>
  <c r="F16" i="2" s="1"/>
  <c r="J16" i="2" s="1"/>
  <c r="F17" i="2" s="1"/>
  <c r="J17" i="2" s="1"/>
  <c r="F18" i="2" s="1"/>
  <c r="J18" i="2" s="1"/>
  <c r="F19" i="2" s="1"/>
  <c r="J9" i="7" l="1"/>
  <c r="K9" i="7" s="1"/>
  <c r="L9" i="7" s="1"/>
  <c r="K38" i="5"/>
  <c r="G17" i="7"/>
  <c r="K49" i="5"/>
  <c r="K17" i="5"/>
  <c r="P10" i="5"/>
  <c r="O11" i="5"/>
  <c r="T26" i="3"/>
  <c r="N7" i="2"/>
  <c r="N8" i="2" s="1"/>
  <c r="N9" i="2" s="1"/>
  <c r="N10" i="2" s="1"/>
  <c r="O36" i="2"/>
  <c r="O37" i="2" s="1"/>
  <c r="O5" i="2"/>
  <c r="O6" i="2"/>
  <c r="E16" i="7"/>
  <c r="G16" i="7"/>
  <c r="N42" i="5"/>
  <c r="O42" i="5" s="1"/>
  <c r="N31" i="5"/>
  <c r="O31" i="5" s="1"/>
  <c r="K27" i="5"/>
  <c r="O21" i="5"/>
  <c r="P20" i="5"/>
  <c r="P35" i="2"/>
  <c r="O25" i="2"/>
  <c r="E25" i="3"/>
  <c r="F25" i="3" s="1"/>
  <c r="O24" i="3"/>
  <c r="M16" i="3"/>
  <c r="N15" i="3"/>
  <c r="N14" i="3"/>
  <c r="E8" i="3"/>
  <c r="F8" i="3" s="1"/>
  <c r="J6" i="2"/>
  <c r="O15" i="2"/>
  <c r="J19" i="2"/>
  <c r="F20" i="2" s="1"/>
  <c r="J20" i="2" s="1"/>
  <c r="F21" i="2" s="1"/>
  <c r="J21" i="2" s="1"/>
  <c r="N9" i="7" l="1"/>
  <c r="O12" i="5"/>
  <c r="P11" i="5"/>
  <c r="F7" i="2"/>
  <c r="J7" i="2" s="1"/>
  <c r="F8" i="2" s="1"/>
  <c r="J8" i="2" s="1"/>
  <c r="F9" i="2" s="1"/>
  <c r="J9" i="2" s="1"/>
  <c r="P42" i="5"/>
  <c r="P31" i="5"/>
  <c r="O32" i="5"/>
  <c r="O33" i="5" s="1"/>
  <c r="P21" i="5"/>
  <c r="O22" i="5"/>
  <c r="E26" i="3"/>
  <c r="F26" i="3" s="1"/>
  <c r="N16" i="3"/>
  <c r="M17" i="3"/>
  <c r="J8" i="3"/>
  <c r="E9" i="3" s="1"/>
  <c r="F9" i="3" s="1"/>
  <c r="P36" i="2"/>
  <c r="O38" i="2"/>
  <c r="P37" i="2"/>
  <c r="O16" i="2"/>
  <c r="O26" i="2"/>
  <c r="O13" i="5" l="1"/>
  <c r="P12" i="5"/>
  <c r="O7" i="2"/>
  <c r="M9" i="7"/>
  <c r="O9" i="7"/>
  <c r="P32" i="5"/>
  <c r="O23" i="5"/>
  <c r="P22" i="5"/>
  <c r="J26" i="3"/>
  <c r="E27" i="3" s="1"/>
  <c r="F27" i="3" s="1"/>
  <c r="M18" i="3"/>
  <c r="N17" i="3"/>
  <c r="J9" i="3"/>
  <c r="E10" i="3" s="1"/>
  <c r="F10" i="3" s="1"/>
  <c r="J10" i="3" s="1"/>
  <c r="P38" i="2"/>
  <c r="O39" i="2"/>
  <c r="F10" i="2"/>
  <c r="J10" i="2" s="1"/>
  <c r="O8" i="2"/>
  <c r="O17" i="2"/>
  <c r="O27" i="2"/>
  <c r="O14" i="5" l="1"/>
  <c r="P13" i="5"/>
  <c r="P33" i="5"/>
  <c r="O34" i="5"/>
  <c r="O24" i="5"/>
  <c r="P23" i="5"/>
  <c r="J27" i="3"/>
  <c r="E28" i="3" s="1"/>
  <c r="F28" i="3" s="1"/>
  <c r="M19" i="3"/>
  <c r="N18" i="3"/>
  <c r="P39" i="2"/>
  <c r="O40" i="2"/>
  <c r="O41" i="2" s="1"/>
  <c r="F11" i="2"/>
  <c r="J11" i="2" s="1"/>
  <c r="O9" i="2"/>
  <c r="O18" i="2"/>
  <c r="O28" i="2"/>
  <c r="O15" i="5" l="1"/>
  <c r="P14" i="5"/>
  <c r="O35" i="5"/>
  <c r="P34" i="5"/>
  <c r="O25" i="5"/>
  <c r="P24" i="5"/>
  <c r="J28" i="3"/>
  <c r="E29" i="3" s="1"/>
  <c r="F29" i="3" s="1"/>
  <c r="M20" i="3"/>
  <c r="N20" i="3" s="1"/>
  <c r="N19" i="3"/>
  <c r="P40" i="2"/>
  <c r="P41" i="2"/>
  <c r="O11" i="2"/>
  <c r="O10" i="2"/>
  <c r="O19" i="2"/>
  <c r="O29" i="2"/>
  <c r="O16" i="5" l="1"/>
  <c r="P16" i="5" s="1"/>
  <c r="P15" i="5"/>
  <c r="P35" i="5"/>
  <c r="O36" i="5"/>
  <c r="O26" i="5"/>
  <c r="P26" i="5" s="1"/>
  <c r="P25" i="5"/>
  <c r="J29" i="3"/>
  <c r="E30" i="3" s="1"/>
  <c r="F30" i="3" s="1"/>
  <c r="J30" i="3" s="1"/>
  <c r="O21" i="2"/>
  <c r="O20" i="2"/>
  <c r="O31" i="2"/>
  <c r="O30" i="2"/>
  <c r="O37" i="5" l="1"/>
  <c r="P37" i="5" s="1"/>
  <c r="P36" i="5"/>
  <c r="E5" i="7" l="1"/>
  <c r="L22" i="3" s="1"/>
  <c r="L28" i="3" l="1"/>
  <c r="M28" i="3" s="1"/>
  <c r="G46" i="5" s="1"/>
  <c r="L26" i="3"/>
  <c r="M26" i="3" s="1"/>
  <c r="G44" i="5" s="1"/>
  <c r="L25" i="3"/>
  <c r="M25" i="3" s="1"/>
  <c r="L30" i="3"/>
  <c r="M30" i="3" s="1"/>
  <c r="G48" i="5" s="1"/>
  <c r="L27" i="3"/>
  <c r="M27" i="3" s="1"/>
  <c r="G45" i="5" s="1"/>
  <c r="L29" i="3"/>
  <c r="M29" i="3" s="1"/>
  <c r="G47" i="5" s="1"/>
  <c r="N45" i="5" l="1"/>
  <c r="C12" i="7"/>
  <c r="J12" i="7" s="1"/>
  <c r="C15" i="7"/>
  <c r="J15" i="7" s="1"/>
  <c r="N48" i="5"/>
  <c r="N25" i="3"/>
  <c r="G43" i="5"/>
  <c r="N44" i="5"/>
  <c r="C11" i="7"/>
  <c r="J11" i="7" s="1"/>
  <c r="C14" i="7"/>
  <c r="J14" i="7" s="1"/>
  <c r="N47" i="5"/>
  <c r="C13" i="7"/>
  <c r="J13" i="7" s="1"/>
  <c r="N46" i="5"/>
  <c r="C10" i="7" l="1"/>
  <c r="G49" i="5"/>
  <c r="N43" i="5"/>
  <c r="O43" i="5" s="1"/>
  <c r="N26" i="3"/>
  <c r="O25" i="3"/>
  <c r="O26" i="3" l="1"/>
  <c r="P26" i="3"/>
  <c r="N27" i="3"/>
  <c r="P43" i="5"/>
  <c r="O44" i="5"/>
  <c r="J10" i="7"/>
  <c r="K10" i="7" s="1"/>
  <c r="C17" i="7"/>
  <c r="C16" i="7"/>
  <c r="L10" i="7" l="1"/>
  <c r="K11" i="7"/>
  <c r="P44" i="5"/>
  <c r="O45" i="5"/>
  <c r="P27" i="3"/>
  <c r="N28" i="3"/>
  <c r="O27" i="3"/>
  <c r="O28" i="3" l="1"/>
  <c r="N29" i="3"/>
  <c r="P28" i="3"/>
  <c r="K12" i="7"/>
  <c r="L11" i="7"/>
  <c r="O46" i="5"/>
  <c r="P45" i="5"/>
  <c r="N10" i="7"/>
  <c r="M10" i="7"/>
  <c r="O10" i="7"/>
  <c r="O47" i="5" l="1"/>
  <c r="P46" i="5"/>
  <c r="N11" i="7"/>
  <c r="O11" i="7"/>
  <c r="M11" i="7"/>
  <c r="L12" i="7"/>
  <c r="K13" i="7"/>
  <c r="N30" i="3"/>
  <c r="O29" i="3"/>
  <c r="P29" i="3"/>
  <c r="N12" i="7" l="1"/>
  <c r="O12" i="7"/>
  <c r="M12" i="7"/>
  <c r="P30" i="3"/>
  <c r="O30" i="3"/>
  <c r="K14" i="7"/>
  <c r="L13" i="7"/>
  <c r="P47" i="5"/>
  <c r="O48" i="5"/>
  <c r="P48" i="5" s="1"/>
  <c r="O13" i="7" l="1"/>
  <c r="M13" i="7"/>
  <c r="N13" i="7"/>
  <c r="K15" i="7"/>
  <c r="L15" i="7" s="1"/>
  <c r="L14" i="7"/>
  <c r="O14" i="7" l="1"/>
  <c r="M14" i="7"/>
  <c r="N14" i="7"/>
  <c r="M15" i="7"/>
  <c r="N15" i="7"/>
  <c r="O15" i="7"/>
</calcChain>
</file>

<file path=xl/sharedStrings.xml><?xml version="1.0" encoding="utf-8"?>
<sst xmlns="http://schemas.openxmlformats.org/spreadsheetml/2006/main" count="529" uniqueCount="109">
  <si>
    <t>Sakura</t>
  </si>
  <si>
    <t>V0</t>
  </si>
  <si>
    <t>Turn 1</t>
  </si>
  <si>
    <t>Turn 2</t>
  </si>
  <si>
    <t>S2</t>
  </si>
  <si>
    <t>Tallied</t>
  </si>
  <si>
    <t>S1</t>
  </si>
  <si>
    <t>S3</t>
  </si>
  <si>
    <t>S1+S2</t>
  </si>
  <si>
    <t>Generated</t>
  </si>
  <si>
    <t>Current CI</t>
  </si>
  <si>
    <t>Turn 3</t>
  </si>
  <si>
    <t>Turn 4</t>
  </si>
  <si>
    <t>Skill</t>
  </si>
  <si>
    <t>Turn 6</t>
  </si>
  <si>
    <t>Turn 7</t>
  </si>
  <si>
    <t>S1+S3</t>
  </si>
  <si>
    <t>V2</t>
  </si>
  <si>
    <t>Ember</t>
  </si>
  <si>
    <t>V6</t>
  </si>
  <si>
    <t>Lewis</t>
  </si>
  <si>
    <t>Turn 5</t>
  </si>
  <si>
    <t>Sakura Mark</t>
  </si>
  <si>
    <t>Start turn generation</t>
  </si>
  <si>
    <t>Cost</t>
  </si>
  <si>
    <t>Total at End Turn</t>
  </si>
  <si>
    <t>Sakura Blaze</t>
  </si>
  <si>
    <t>Lewis Blaze</t>
  </si>
  <si>
    <t>V3</t>
  </si>
  <si>
    <t>Total Blaze</t>
  </si>
  <si>
    <t>V6 Sakura buff</t>
  </si>
  <si>
    <t>Sakura + Lewis V0</t>
  </si>
  <si>
    <t>Volley</t>
  </si>
  <si>
    <t>Total Volley</t>
  </si>
  <si>
    <t>Total CI</t>
  </si>
  <si>
    <t>Generated CI from toys</t>
  </si>
  <si>
    <t>V6 Rank 3</t>
  </si>
  <si>
    <t>volley triggered</t>
  </si>
  <si>
    <t>blaze count</t>
  </si>
  <si>
    <t>in screen</t>
  </si>
  <si>
    <t>Blaze stacking Mechanic for each relevant burn dolls:</t>
  </si>
  <si>
    <t>Doll</t>
  </si>
  <si>
    <t>Source1</t>
  </si>
  <si>
    <t>Supplementary Sources (Blaze Stacks)</t>
  </si>
  <si>
    <t>-</t>
  </si>
  <si>
    <t>Duplicates</t>
  </si>
  <si>
    <t>S3+S2</t>
  </si>
  <si>
    <t>S2+S1</t>
  </si>
  <si>
    <t>Sakura Mark + Ult Passive</t>
  </si>
  <si>
    <t>Total Blaze Count</t>
  </si>
  <si>
    <t>V1</t>
  </si>
  <si>
    <t>Loreley</t>
  </si>
  <si>
    <t>Turns</t>
  </si>
  <si>
    <t>Note</t>
  </si>
  <si>
    <t>Total Blaze Stacks Generated</t>
  </si>
  <si>
    <t>Blaze Stacks Per Turn</t>
  </si>
  <si>
    <t>Blaze Stacks Accumulated</t>
  </si>
  <si>
    <t>Ember Count</t>
  </si>
  <si>
    <t>Ember Uptime</t>
  </si>
  <si>
    <t>Crit Dmg Increase</t>
  </si>
  <si>
    <t>Volley Trigger + Ult Rank 3 Toys</t>
  </si>
  <si>
    <t>For Different Duplicates, change the Yellow listed cells</t>
  </si>
  <si>
    <t xml:space="preserve">Fixed Key (10 at start of battle) </t>
  </si>
  <si>
    <t>CI = Confectance Index</t>
  </si>
  <si>
    <t>Note: S2 casted before toys</t>
  </si>
  <si>
    <t>Note: at V2 S3 casted before volleys from toys</t>
  </si>
  <si>
    <t>Note: V6 Assuming Tololo +V2, Niketta +V1, Springfield +V1</t>
  </si>
  <si>
    <t>note: S3 doesn't generate Blaze Stacks but apply "Good Fortune" buff, to generate 1 Sakura mark before Sakura cast s1 and/or s2 for non ult turns</t>
  </si>
  <si>
    <t>Equipped Fixed key 1 for extra sakura mark at turn 1</t>
  </si>
  <si>
    <t>Fixed Key (1 extra sakura mark (2 blaze) at start of battle)</t>
  </si>
  <si>
    <t>Summon attack + ULT</t>
  </si>
  <si>
    <t>Single Target</t>
  </si>
  <si>
    <t>V4</t>
  </si>
  <si>
    <t>Total enemies</t>
  </si>
  <si>
    <t>note: no Lind V0 to trigger Lewis AOE cheese, and assumes all enemy is tanky and spreads out enough so S1 sakura can't hit multiple enemies</t>
  </si>
  <si>
    <t>S3 after toy volley</t>
  </si>
  <si>
    <t>S3 before toy volley</t>
  </si>
  <si>
    <t>all S3 after volley</t>
  </si>
  <si>
    <t>Extra actions</t>
  </si>
  <si>
    <t>Round 1</t>
  </si>
  <si>
    <t>Round 2</t>
  </si>
  <si>
    <t>Round 3</t>
  </si>
  <si>
    <t>Round 4</t>
  </si>
  <si>
    <t>Round 5</t>
  </si>
  <si>
    <t>Round 6</t>
  </si>
  <si>
    <t>Round 7</t>
  </si>
  <si>
    <t>Toy holder with Extra actions</t>
  </si>
  <si>
    <t>No Extra Action</t>
  </si>
  <si>
    <t>(Loreley V2 change Embers into 45% damage dealt, not just burn. I still don't know what Loreley V6 changes)</t>
  </si>
  <si>
    <t>+1 extra action per round</t>
  </si>
  <si>
    <t>Loreley V2</t>
  </si>
  <si>
    <t>Ots-14 Burn</t>
  </si>
  <si>
    <t>Ots-14</t>
  </si>
  <si>
    <t>Fortifications</t>
  </si>
  <si>
    <t>S2+S0</t>
  </si>
  <si>
    <t>Average Blaze Stacks/Round</t>
  </si>
  <si>
    <t>S2/S1 +S0</t>
  </si>
  <si>
    <t>+1</t>
  </si>
  <si>
    <t>+2</t>
  </si>
  <si>
    <t>+1 Extra Action</t>
  </si>
  <si>
    <t>+2 Extra Action</t>
  </si>
  <si>
    <t>Tololo</t>
  </si>
  <si>
    <t>Niketta V1</t>
  </si>
  <si>
    <t>(Lewis V6 does more volleys if the toy holder have extra action, look at the table on the right for more info)</t>
  </si>
  <si>
    <t>Soppo V1</t>
  </si>
  <si>
    <t>Liushih</t>
  </si>
  <si>
    <t>w Springfield V1</t>
  </si>
  <si>
    <t>Units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</si>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</sst>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%"/>
    <numFmt numFmtId="165" formatCode="_-* #,##0.00_-;\-* #,##0.00_-;_-* &quot;-&quot;_-;_-@_-"/>
    <numFmt numFmtId="166" formatCode="_-* #,##0.000_-;\-* #,##0.000_-;_-* &quot;-&quot;_-;_-@_-"/>
    <numFmt numFmtId="167" formatCode="_-* #,##0.0000_-;\-* #,##0.00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/>
    <xf numFmtId="9" fontId="0" fillId="0" borderId="4" xfId="1" applyFont="1" applyBorder="1"/>
    <xf numFmtId="0" fontId="0" fillId="3" borderId="0" xfId="0" applyFill="1"/>
    <xf numFmtId="0" fontId="3" fillId="0" borderId="0" xfId="0" applyFont="1"/>
    <xf numFmtId="9" fontId="0" fillId="0" borderId="0" xfId="1" applyFont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41" fontId="0" fillId="0" borderId="0" xfId="2" applyFont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2" fontId="0" fillId="0" borderId="14" xfId="0" applyNumberFormat="1" applyBorder="1"/>
    <xf numFmtId="165" fontId="0" fillId="0" borderId="0" xfId="2" applyNumberFormat="1" applyFont="1"/>
    <xf numFmtId="166" fontId="0" fillId="0" borderId="0" xfId="2" applyNumberFormat="1" applyFont="1"/>
    <xf numFmtId="167" fontId="0" fillId="0" borderId="0" xfId="2" applyNumberFormat="1" applyFont="1"/>
    <xf numFmtId="0" fontId="5" fillId="0" borderId="0" xfId="0" applyFont="1"/>
    <xf numFmtId="0" fontId="0" fillId="0" borderId="0" xfId="0" quotePrefix="1"/>
    <xf numFmtId="0" fontId="3" fillId="0" borderId="0" xfId="0" quotePrefix="1" applyFont="1"/>
    <xf numFmtId="9" fontId="3" fillId="0" borderId="0" xfId="1" applyFont="1" applyBorder="1"/>
    <xf numFmtId="9" fontId="3" fillId="0" borderId="0" xfId="0" applyNumberFormat="1" applyFont="1"/>
    <xf numFmtId="0" fontId="0" fillId="2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4" borderId="2" xfId="0" quotePrefix="1" applyFill="1" applyBorder="1" applyAlignment="1">
      <alignment horizontal="center" wrapText="1"/>
    </xf>
  </cellXfs>
  <cellStyles count="3">
    <cellStyle name="Comma [0]" xfId="2" builtinId="6"/>
    <cellStyle name="Normal" xfId="0" builtinId="0"/>
    <cellStyle name="Percent" xfId="1" builtinId="5"/>
  </cellStyles>
  <dxfs count="24">
    <dxf>
      <font>
        <color theme="0"/>
      </font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auto="1"/>
      </font>
    </dxf>
    <dxf>
      <font>
        <color theme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5C4D-78BC-4143-B9A9-D6A625884CAA}">
  <dimension ref="A1:T17"/>
  <sheetViews>
    <sheetView tabSelected="1" zoomScaleNormal="100" workbookViewId="0">
      <selection activeCell="E2" sqref="E2"/>
    </sheetView>
  </sheetViews>
  <sheetFormatPr defaultRowHeight="15" x14ac:dyDescent="0.25"/>
  <cols>
    <col min="1" max="1" width="27" customWidth="1"/>
    <col min="6" max="6" width="11.85546875" bestFit="1" customWidth="1"/>
    <col min="7" max="7" width="14.140625" customWidth="1"/>
    <col min="8" max="8" width="12.7109375" customWidth="1"/>
    <col min="9" max="9" width="14.140625" customWidth="1"/>
    <col min="10" max="10" width="14.5703125" customWidth="1"/>
    <col min="12" max="12" width="15.7109375" customWidth="1"/>
    <col min="14" max="14" width="10.85546875" customWidth="1"/>
    <col min="15" max="16" width="8.85546875" customWidth="1"/>
    <col min="17" max="17" width="12.7109375" customWidth="1"/>
    <col min="20" max="20" width="9.85546875" bestFit="1" customWidth="1"/>
  </cols>
  <sheetData>
    <row r="1" spans="1:20" x14ac:dyDescent="0.25">
      <c r="G1" t="s">
        <v>53</v>
      </c>
      <c r="H1" t="s">
        <v>88</v>
      </c>
    </row>
    <row r="2" spans="1:20" x14ac:dyDescent="0.25">
      <c r="H2" s="24" t="s">
        <v>103</v>
      </c>
      <c r="I2" s="24"/>
      <c r="J2" s="24"/>
      <c r="K2" s="24"/>
      <c r="L2" s="14"/>
      <c r="M2" s="14"/>
      <c r="N2" s="14"/>
    </row>
    <row r="3" spans="1:20" x14ac:dyDescent="0.25">
      <c r="Q3" s="7" t="s">
        <v>107</v>
      </c>
      <c r="R3" s="7" t="s">
        <v>108</v>
      </c>
      <c r="S3" s="7"/>
    </row>
    <row r="4" spans="1:20" x14ac:dyDescent="0.25">
      <c r="B4" s="39" t="s">
        <v>61</v>
      </c>
      <c r="C4" s="39"/>
      <c r="D4" s="39"/>
      <c r="E4" s="39"/>
      <c r="F4" s="39"/>
      <c r="G4" s="39"/>
      <c r="H4" s="39"/>
      <c r="I4" s="39"/>
      <c r="Q4" s="7" t="s">
        <v>101</v>
      </c>
      <c r="R4" s="26" t="s">
        <v>98</v>
      </c>
      <c r="S4" s="7" t="s">
        <v>106</v>
      </c>
    </row>
    <row r="5" spans="1:20" x14ac:dyDescent="0.25">
      <c r="B5" s="44" t="str">
        <f>IF(C8="V6","V6 Lewis Volley Fire/Round","")</f>
        <v>V6 Lewis Volley Fire/Round</v>
      </c>
      <c r="C5" s="44"/>
      <c r="D5" s="44"/>
      <c r="E5" s="7">
        <f>2+IF(C8="V6",INDEX('Lewis Conf. Index'!$C$26:$C$31,MATCH('Blaze Calculations'!$G$5,'Lewis Conf. Index'!B26:B31,0))+INDEX('Lewis Conf. Index'!$C$26:$C$31,MATCH('Blaze Calculations'!$I$5,'Lewis Conf. Index'!B26:B31,0)),"")</f>
        <v>3</v>
      </c>
      <c r="F5" s="13" t="str">
        <f>IF(C8="V6","Toy holder 1","")</f>
        <v>Toy holder 1</v>
      </c>
      <c r="G5" s="7" t="s">
        <v>99</v>
      </c>
      <c r="H5" s="13" t="str">
        <f>IF(C8="V6","Toy holder 2","")</f>
        <v>Toy holder 2</v>
      </c>
      <c r="I5" s="7" t="s">
        <v>87</v>
      </c>
      <c r="J5" s="38" t="str">
        <f>IF(C8="V6","Change green cells for different toy holders","")</f>
        <v>Change green cells for different toy holders</v>
      </c>
      <c r="K5" s="38"/>
      <c r="L5" s="38"/>
      <c r="M5" s="38"/>
      <c r="Q5" s="7" t="s">
        <v>90</v>
      </c>
      <c r="R5" s="26" t="s">
        <v>97</v>
      </c>
      <c r="S5" s="7"/>
    </row>
    <row r="6" spans="1:20" ht="15.75" thickBot="1" x14ac:dyDescent="0.3">
      <c r="Q6" s="7" t="s">
        <v>102</v>
      </c>
      <c r="R6" s="26" t="s">
        <v>97</v>
      </c>
      <c r="S6" s="7"/>
    </row>
    <row r="7" spans="1:20" x14ac:dyDescent="0.25">
      <c r="A7" s="30" t="s">
        <v>52</v>
      </c>
      <c r="B7" s="30" t="s">
        <v>13</v>
      </c>
      <c r="C7" s="18" t="s">
        <v>20</v>
      </c>
      <c r="D7" s="30" t="s">
        <v>13</v>
      </c>
      <c r="E7" s="18" t="s">
        <v>0</v>
      </c>
      <c r="F7" s="30" t="s">
        <v>13</v>
      </c>
      <c r="G7" s="18" t="s">
        <v>51</v>
      </c>
      <c r="H7" s="30" t="s">
        <v>13</v>
      </c>
      <c r="I7" s="18" t="s">
        <v>91</v>
      </c>
      <c r="J7" s="36" t="s">
        <v>55</v>
      </c>
      <c r="K7" s="34" t="s">
        <v>56</v>
      </c>
      <c r="L7" s="32" t="s">
        <v>57</v>
      </c>
      <c r="M7" s="40" t="s">
        <v>58</v>
      </c>
      <c r="N7" s="45" t="s">
        <v>89</v>
      </c>
      <c r="O7" s="42" t="s">
        <v>59</v>
      </c>
      <c r="Q7" s="7" t="s">
        <v>104</v>
      </c>
      <c r="R7" s="26" t="s">
        <v>97</v>
      </c>
      <c r="S7" s="7"/>
    </row>
    <row r="8" spans="1:20" x14ac:dyDescent="0.25">
      <c r="A8" s="31"/>
      <c r="B8" s="31"/>
      <c r="C8" s="19" t="s">
        <v>19</v>
      </c>
      <c r="D8" s="31"/>
      <c r="E8" s="19" t="s">
        <v>44</v>
      </c>
      <c r="F8" s="31"/>
      <c r="G8" s="19" t="s">
        <v>17</v>
      </c>
      <c r="H8" s="31"/>
      <c r="I8" s="19" t="s">
        <v>44</v>
      </c>
      <c r="J8" s="37"/>
      <c r="K8" s="35"/>
      <c r="L8" s="33"/>
      <c r="M8" s="41"/>
      <c r="N8" s="41"/>
      <c r="O8" s="43"/>
      <c r="P8" s="8"/>
      <c r="Q8" s="27" t="s">
        <v>105</v>
      </c>
      <c r="R8" s="26" t="s">
        <v>97</v>
      </c>
      <c r="S8" s="27"/>
      <c r="T8" s="9"/>
    </row>
    <row r="9" spans="1:20" x14ac:dyDescent="0.25">
      <c r="A9" s="16" t="s">
        <v>79</v>
      </c>
      <c r="B9" s="16" t="str">
        <f>_xlfn.IFS($C$8='Blaze Stacking Data'!$F$9,'Blaze Stacking Data'!F10,$C$8='Blaze Stacking Data'!$F$19,'Blaze Stacking Data'!F20,$C$8='Blaze Stacking Data'!$F$41,'Blaze Stacking Data'!F42,$C$8="-","")</f>
        <v>S2</v>
      </c>
      <c r="C9" s="16">
        <f>_xlfn.IFS($C$8='Blaze Stacking Data'!$F$9,'Blaze Stacking Data'!G10,$C$8='Blaze Stacking Data'!$F$19,'Blaze Stacking Data'!G20,$C$8='Blaze Stacking Data'!$F$41,'Blaze Stacking Data'!G42,$C$8="-","0")</f>
        <v>6</v>
      </c>
      <c r="D9" s="16" t="str">
        <f>_xlfn.IFS($E$8='Blaze Stacking Data'!$H$9,'Blaze Stacking Data'!H10,$E$8='Blaze Stacking Data'!$H$19,'Blaze Stacking Data'!H20,$E$8='Blaze Stacking Data'!$H$30,'Blaze Stacking Data'!H31,$E$8='Blaze Stacking Data'!$H$41,'Blaze Stacking Data'!H42,$E$8="-","")</f>
        <v/>
      </c>
      <c r="E9" s="16" t="str">
        <f>_xlfn.IFS($E$8='Blaze Stacking Data'!$H$9,'Blaze Stacking Data'!I10,$E$8='Blaze Stacking Data'!$H$19,'Blaze Stacking Data'!I20,$E$8='Blaze Stacking Data'!$H$30,'Blaze Stacking Data'!I31,$E$8='Blaze Stacking Data'!$H$41,'Blaze Stacking Data'!I42,$E$8="-","0")</f>
        <v>0</v>
      </c>
      <c r="F9" s="16" t="str">
        <f>_xlfn.IFS($G$8='Blaze Stacking Data'!$J$9,'Blaze Stacking Data'!J10,$G$8='Blaze Stacking Data'!$J$19,'Blaze Stacking Data'!J20,$G$8='Blaze Stacking Data'!$J$30,'Blaze Stacking Data'!J31,$G$8='Blaze Stacking Data'!$J$41,'Blaze Stacking Data'!J42,$G$8="-","")</f>
        <v>S3+S2</v>
      </c>
      <c r="G9" s="16">
        <f>_xlfn.IFS($G$8='Blaze Stacking Data'!$J$9,'Blaze Stacking Data'!K10,$G$8='Blaze Stacking Data'!$J$19,'Blaze Stacking Data'!K20,$G$8='Blaze Stacking Data'!$J$30,'Blaze Stacking Data'!K31,$G$8='Blaze Stacking Data'!$J$41,'Blaze Stacking Data'!K42,$G$8="-","0")</f>
        <v>30</v>
      </c>
      <c r="H9" s="16" t="str">
        <f>_xlfn.IFS($I$8='Blaze Stacking Data'!$J$9,'Blaze Stacking Data'!L10,$I$8='Blaze Stacking Data'!$J$19,'Blaze Stacking Data'!L20,$I$8='Blaze Stacking Data'!$J$30,'Blaze Stacking Data'!L31,$I$8='Blaze Stacking Data'!$J$41,'Blaze Stacking Data'!L42,$I$8="-","")</f>
        <v/>
      </c>
      <c r="I9" s="16" t="str">
        <f>_xlfn.IFS($I$8='Blaze Stacking Data'!$J$9,'Blaze Stacking Data'!M10,$I$8='Blaze Stacking Data'!$J$19,'Blaze Stacking Data'!M20,$I$8='Blaze Stacking Data'!$J$30,'Blaze Stacking Data'!M31,$I$8='Blaze Stacking Data'!$J$41,'Blaze Stacking Data'!M42,$I$8="-","0")</f>
        <v>0</v>
      </c>
      <c r="J9" s="2">
        <f>SUM(G9+E9+C9+I9)</f>
        <v>36</v>
      </c>
      <c r="K9" s="1">
        <f>J9</f>
        <v>36</v>
      </c>
      <c r="L9" s="3">
        <f>ROUNDDOWN(K9/35,0)</f>
        <v>1</v>
      </c>
      <c r="M9" s="4" t="str">
        <f>IF(L9&gt;0,"Yes","No")</f>
        <v>Yes</v>
      </c>
      <c r="N9" s="4" t="str">
        <f>IF(L9=1,"Yes","No")</f>
        <v>Yes</v>
      </c>
      <c r="O9" s="5">
        <f t="shared" ref="O9:O15" si="0">L9*5%</f>
        <v>0.05</v>
      </c>
      <c r="P9" s="15"/>
      <c r="Q9" s="28"/>
      <c r="R9" s="28"/>
      <c r="S9" s="28"/>
    </row>
    <row r="10" spans="1:20" x14ac:dyDescent="0.25">
      <c r="A10" s="16" t="s">
        <v>80</v>
      </c>
      <c r="B10" s="16" t="str">
        <f>_xlfn.IFS($C$8='Blaze Stacking Data'!$F$9,'Blaze Stacking Data'!F11,$C$8='Blaze Stacking Data'!$F$19,'Blaze Stacking Data'!F21,$C$8='Blaze Stacking Data'!$F$41,'Blaze Stacking Data'!F43,$C$8="-","")</f>
        <v>S3</v>
      </c>
      <c r="C10" s="16">
        <f>_xlfn.IFS($C$8='Blaze Stacking Data'!$F$9,'Blaze Stacking Data'!G11,$C$8='Blaze Stacking Data'!$F$19,'Blaze Stacking Data'!G21,$C$8='Blaze Stacking Data'!$F$41,'Blaze Stacking Data'!G43,$C$8="-","0")</f>
        <v>21</v>
      </c>
      <c r="D10" s="16" t="str">
        <f>_xlfn.IFS($E$8='Blaze Stacking Data'!$H$9,'Blaze Stacking Data'!H11,$E$8='Blaze Stacking Data'!$H$19,'Blaze Stacking Data'!H21,$E$8='Blaze Stacking Data'!$H$30,'Blaze Stacking Data'!H32,$E$8='Blaze Stacking Data'!$H$41,'Blaze Stacking Data'!H43,$E$8="-","")</f>
        <v/>
      </c>
      <c r="E10" s="16" t="str">
        <f>_xlfn.IFS($E$8='Blaze Stacking Data'!$H$9,'Blaze Stacking Data'!I11,$E$8='Blaze Stacking Data'!$H$19,'Blaze Stacking Data'!I21,$E$8='Blaze Stacking Data'!$H$30,'Blaze Stacking Data'!I32,$E$8='Blaze Stacking Data'!$H$41,'Blaze Stacking Data'!I43,$E$8="-","0")</f>
        <v>0</v>
      </c>
      <c r="F10" s="16" t="str">
        <f>_xlfn.IFS($G$8='Blaze Stacking Data'!$J$9,'Blaze Stacking Data'!J11,$G$8='Blaze Stacking Data'!$J$19,'Blaze Stacking Data'!J21,$G$8='Blaze Stacking Data'!$J$30,'Blaze Stacking Data'!J32,$G$8='Blaze Stacking Data'!$J$41,'Blaze Stacking Data'!J43,$G$8="-","")</f>
        <v>S2+S1</v>
      </c>
      <c r="G10" s="16">
        <f>_xlfn.IFS($G$8='Blaze Stacking Data'!$J$9,'Blaze Stacking Data'!K11,$G$8='Blaze Stacking Data'!$J$19,'Blaze Stacking Data'!K21,$G$8='Blaze Stacking Data'!$J$30,'Blaze Stacking Data'!K32,$G$8='Blaze Stacking Data'!$J$41,'Blaze Stacking Data'!K43,$G$8="-","0")</f>
        <v>12</v>
      </c>
      <c r="H10" s="16" t="str">
        <f>_xlfn.IFS($I$8='Blaze Stacking Data'!$J$9,'Blaze Stacking Data'!L11,$I$8='Blaze Stacking Data'!$J$19,'Blaze Stacking Data'!L21,$I$8='Blaze Stacking Data'!$J$30,'Blaze Stacking Data'!L32,$I$8='Blaze Stacking Data'!$J$41,'Blaze Stacking Data'!L43,$I$8="-","")</f>
        <v/>
      </c>
      <c r="I10" s="16" t="str">
        <f>_xlfn.IFS($I$8='Blaze Stacking Data'!$J$9,'Blaze Stacking Data'!M11,$I$8='Blaze Stacking Data'!$J$19,'Blaze Stacking Data'!M21,$I$8='Blaze Stacking Data'!$J$30,'Blaze Stacking Data'!M32,$I$8='Blaze Stacking Data'!$J$41,'Blaze Stacking Data'!M43,$I$8="-","0")</f>
        <v>0</v>
      </c>
      <c r="J10" s="2">
        <f>SUM(G10+E10+C10+I10)</f>
        <v>33</v>
      </c>
      <c r="K10" s="1">
        <f>K9+J10</f>
        <v>69</v>
      </c>
      <c r="L10" s="3">
        <f t="shared" ref="L10:L15" si="1">ROUNDDOWN(K10/35,0)</f>
        <v>1</v>
      </c>
      <c r="M10" s="4" t="str">
        <f>IF(L10&gt;0,"Yes","No")</f>
        <v>Yes</v>
      </c>
      <c r="N10" s="4" t="str">
        <f>IF(L10=L9,"No",IF(L10&lt;&gt;L9,"Yes"))</f>
        <v>No</v>
      </c>
      <c r="O10" s="5">
        <f t="shared" si="0"/>
        <v>0.05</v>
      </c>
      <c r="P10" s="15"/>
    </row>
    <row r="11" spans="1:20" x14ac:dyDescent="0.25">
      <c r="A11" s="16" t="s">
        <v>81</v>
      </c>
      <c r="B11" s="16" t="str">
        <f>_xlfn.IFS($C$8='Blaze Stacking Data'!$F$9,'Blaze Stacking Data'!F12,$C$8='Blaze Stacking Data'!$F$19,'Blaze Stacking Data'!F22,$C$8='Blaze Stacking Data'!$F$41,'Blaze Stacking Data'!F44,$C$8="-","")</f>
        <v>S2</v>
      </c>
      <c r="C11" s="16">
        <f>_xlfn.IFS($C$8='Blaze Stacking Data'!$F$9,'Blaze Stacking Data'!G12,$C$8='Blaze Stacking Data'!$F$19,'Blaze Stacking Data'!G22,$C$8='Blaze Stacking Data'!$F$41,'Blaze Stacking Data'!G44,$C$8="-","0")</f>
        <v>15</v>
      </c>
      <c r="D11" s="16" t="str">
        <f>_xlfn.IFS($E$8='Blaze Stacking Data'!$H$9,'Blaze Stacking Data'!H12,$E$8='Blaze Stacking Data'!$H$19,'Blaze Stacking Data'!H22,$E$8='Blaze Stacking Data'!$H$30,'Blaze Stacking Data'!H33,$E$8='Blaze Stacking Data'!$H$41,'Blaze Stacking Data'!H44,$E$8="-","")</f>
        <v/>
      </c>
      <c r="E11" s="16" t="str">
        <f>_xlfn.IFS($E$8='Blaze Stacking Data'!$H$9,'Blaze Stacking Data'!I12,$E$8='Blaze Stacking Data'!$H$19,'Blaze Stacking Data'!I22,$E$8='Blaze Stacking Data'!$H$30,'Blaze Stacking Data'!I33,$E$8='Blaze Stacking Data'!$H$41,'Blaze Stacking Data'!I44,$E$8="-","0")</f>
        <v>0</v>
      </c>
      <c r="F11" s="16" t="str">
        <f>_xlfn.IFS($G$8='Blaze Stacking Data'!$J$9,'Blaze Stacking Data'!J12,$G$8='Blaze Stacking Data'!$J$19,'Blaze Stacking Data'!J22,$G$8='Blaze Stacking Data'!$J$30,'Blaze Stacking Data'!J33,$G$8='Blaze Stacking Data'!$J$41,'Blaze Stacking Data'!J44,$G$8="-","")</f>
        <v>S2+S1</v>
      </c>
      <c r="G11" s="16">
        <f>_xlfn.IFS($G$8='Blaze Stacking Data'!$J$9,'Blaze Stacking Data'!K12,$G$8='Blaze Stacking Data'!$J$19,'Blaze Stacking Data'!K22,$G$8='Blaze Stacking Data'!$J$30,'Blaze Stacking Data'!K33,$G$8='Blaze Stacking Data'!$J$41,'Blaze Stacking Data'!K44,$G$8="-","0")</f>
        <v>12</v>
      </c>
      <c r="H11" s="16" t="str">
        <f>_xlfn.IFS($I$8='Blaze Stacking Data'!$J$9,'Blaze Stacking Data'!L12,$I$8='Blaze Stacking Data'!$J$19,'Blaze Stacking Data'!L22,$I$8='Blaze Stacking Data'!$J$30,'Blaze Stacking Data'!L33,$I$8='Blaze Stacking Data'!$J$41,'Blaze Stacking Data'!L44,$I$8="-","")</f>
        <v/>
      </c>
      <c r="I11" s="16" t="str">
        <f>_xlfn.IFS($I$8='Blaze Stacking Data'!$J$9,'Blaze Stacking Data'!M12,$I$8='Blaze Stacking Data'!$J$19,'Blaze Stacking Data'!M22,$I$8='Blaze Stacking Data'!$J$30,'Blaze Stacking Data'!M33,$I$8='Blaze Stacking Data'!$J$41,'Blaze Stacking Data'!M44,$I$8="-","0")</f>
        <v>0</v>
      </c>
      <c r="J11" s="2">
        <f t="shared" ref="J11:J15" si="2">SUM(G11+E11+C11+I11)</f>
        <v>27</v>
      </c>
      <c r="K11" s="1">
        <f>K10+J11</f>
        <v>96</v>
      </c>
      <c r="L11" s="3">
        <f t="shared" si="1"/>
        <v>2</v>
      </c>
      <c r="M11" s="4" t="str">
        <f>IF(OR(L11=0,L9=L11),"No","Yes")</f>
        <v>Yes</v>
      </c>
      <c r="N11" s="4" t="str">
        <f>IF(L11=L10,"No",IF(L11&lt;&gt;L10,"Yes"))</f>
        <v>Yes</v>
      </c>
      <c r="O11" s="5">
        <f t="shared" si="0"/>
        <v>0.1</v>
      </c>
      <c r="P11" s="22"/>
      <c r="Q11" s="15"/>
      <c r="T11" s="8"/>
    </row>
    <row r="12" spans="1:20" x14ac:dyDescent="0.25">
      <c r="A12" s="16" t="s">
        <v>82</v>
      </c>
      <c r="B12" s="16" t="str">
        <f>_xlfn.IFS($C$8='Blaze Stacking Data'!$F$9,'Blaze Stacking Data'!F13,$C$8='Blaze Stacking Data'!$F$19,'Blaze Stacking Data'!F23,$C$8='Blaze Stacking Data'!$F$41,'Blaze Stacking Data'!F45,$C$8="-","")</f>
        <v>S3</v>
      </c>
      <c r="C12" s="16">
        <f>_xlfn.IFS($C$8='Blaze Stacking Data'!$F$9,'Blaze Stacking Data'!G13,$C$8='Blaze Stacking Data'!$F$19,'Blaze Stacking Data'!G23,$C$8='Blaze Stacking Data'!$F$41,'Blaze Stacking Data'!G45,$C$8="-","0")</f>
        <v>21</v>
      </c>
      <c r="D12" s="16" t="str">
        <f>_xlfn.IFS($E$8='Blaze Stacking Data'!$H$9,'Blaze Stacking Data'!H13,$E$8='Blaze Stacking Data'!$H$19,'Blaze Stacking Data'!H23,$E$8='Blaze Stacking Data'!$H$30,'Blaze Stacking Data'!H34,$E$8='Blaze Stacking Data'!$H$41,'Blaze Stacking Data'!H45,$E$8="-","")</f>
        <v/>
      </c>
      <c r="E12" s="16" t="str">
        <f>_xlfn.IFS($E$8='Blaze Stacking Data'!$H$9,'Blaze Stacking Data'!I13,$E$8='Blaze Stacking Data'!$H$19,'Blaze Stacking Data'!I23,$E$8='Blaze Stacking Data'!$H$30,'Blaze Stacking Data'!I34,$E$8='Blaze Stacking Data'!$H$41,'Blaze Stacking Data'!I45,$E$8="-","0")</f>
        <v>0</v>
      </c>
      <c r="F12" s="16" t="str">
        <f>_xlfn.IFS($G$8='Blaze Stacking Data'!$J$9,'Blaze Stacking Data'!J13,$G$8='Blaze Stacking Data'!$J$19,'Blaze Stacking Data'!J23,$G$8='Blaze Stacking Data'!$J$30,'Blaze Stacking Data'!J34,$G$8='Blaze Stacking Data'!$J$41,'Blaze Stacking Data'!J45,$G$8="-","")</f>
        <v>S3+S2</v>
      </c>
      <c r="G12" s="16">
        <f>_xlfn.IFS($G$8='Blaze Stacking Data'!$J$9,'Blaze Stacking Data'!K13,$G$8='Blaze Stacking Data'!$J$19,'Blaze Stacking Data'!K23,$G$8='Blaze Stacking Data'!$J$30,'Blaze Stacking Data'!K34,$G$8='Blaze Stacking Data'!$J$41,'Blaze Stacking Data'!K45,$G$8="-","0")</f>
        <v>20</v>
      </c>
      <c r="H12" s="16" t="str">
        <f>_xlfn.IFS($I$8='Blaze Stacking Data'!$J$9,'Blaze Stacking Data'!L13,$I$8='Blaze Stacking Data'!$J$19,'Blaze Stacking Data'!L23,$I$8='Blaze Stacking Data'!$J$30,'Blaze Stacking Data'!L34,$I$8='Blaze Stacking Data'!$J$41,'Blaze Stacking Data'!L45,$I$8="-","")</f>
        <v/>
      </c>
      <c r="I12" s="16" t="str">
        <f>_xlfn.IFS($I$8='Blaze Stacking Data'!$J$9,'Blaze Stacking Data'!M13,$I$8='Blaze Stacking Data'!$J$19,'Blaze Stacking Data'!M23,$I$8='Blaze Stacking Data'!$J$30,'Blaze Stacking Data'!M34,$I$8='Blaze Stacking Data'!$J$41,'Blaze Stacking Data'!M45,$I$8="-","0")</f>
        <v>0</v>
      </c>
      <c r="J12" s="2">
        <f t="shared" si="2"/>
        <v>41</v>
      </c>
      <c r="K12" s="1">
        <f t="shared" ref="K12:K15" si="3">K11+J12</f>
        <v>137</v>
      </c>
      <c r="L12" s="3">
        <f>ROUNDDOWN(K12/35,0)</f>
        <v>3</v>
      </c>
      <c r="M12" s="4" t="str">
        <f t="shared" ref="M12:M15" si="4">IF(OR(L12=0,L10=L12),"No","Yes")</f>
        <v>Yes</v>
      </c>
      <c r="N12" s="4" t="str">
        <f t="shared" ref="N12:N15" si="5">IF(L12=L11,"No",IF(L12&lt;&gt;L11,"Yes"))</f>
        <v>Yes</v>
      </c>
      <c r="O12" s="5">
        <f>L12*5%</f>
        <v>0.15000000000000002</v>
      </c>
      <c r="P12" s="22"/>
      <c r="Q12" s="21"/>
    </row>
    <row r="13" spans="1:20" x14ac:dyDescent="0.25">
      <c r="A13" s="16" t="s">
        <v>83</v>
      </c>
      <c r="B13" s="16" t="str">
        <f>_xlfn.IFS($C$8='Blaze Stacking Data'!$F$9,'Blaze Stacking Data'!F14,$C$8='Blaze Stacking Data'!$F$19,'Blaze Stacking Data'!F24,$C$8='Blaze Stacking Data'!$F$41,'Blaze Stacking Data'!F46,$C$8="-","")</f>
        <v>S2</v>
      </c>
      <c r="C13" s="16">
        <f>_xlfn.IFS($C$8='Blaze Stacking Data'!$F$9,'Blaze Stacking Data'!G14,$C$8='Blaze Stacking Data'!$F$19,'Blaze Stacking Data'!G24,$C$8='Blaze Stacking Data'!$F$41,'Blaze Stacking Data'!G46,$C$8="-","0")</f>
        <v>15</v>
      </c>
      <c r="D13" s="16" t="str">
        <f>_xlfn.IFS($E$8='Blaze Stacking Data'!$H$9,'Blaze Stacking Data'!H14,$E$8='Blaze Stacking Data'!$H$19,'Blaze Stacking Data'!H24,$E$8='Blaze Stacking Data'!$H$30,'Blaze Stacking Data'!H35,$E$8='Blaze Stacking Data'!$H$41,'Blaze Stacking Data'!H46,$E$8="-","")</f>
        <v/>
      </c>
      <c r="E13" s="16" t="str">
        <f>_xlfn.IFS($E$8='Blaze Stacking Data'!$H$9,'Blaze Stacking Data'!I14,$E$8='Blaze Stacking Data'!$H$19,'Blaze Stacking Data'!I24,$E$8='Blaze Stacking Data'!$H$30,'Blaze Stacking Data'!I35,$E$8='Blaze Stacking Data'!$H$41,'Blaze Stacking Data'!I46,$E$8="-","0")</f>
        <v>0</v>
      </c>
      <c r="F13" s="16" t="str">
        <f>_xlfn.IFS($G$8='Blaze Stacking Data'!$J$9,'Blaze Stacking Data'!J14,$G$8='Blaze Stacking Data'!$J$19,'Blaze Stacking Data'!J24,$G$8='Blaze Stacking Data'!$J$30,'Blaze Stacking Data'!J35,$G$8='Blaze Stacking Data'!$J$41,'Blaze Stacking Data'!J46,$G$8="-","")</f>
        <v>S2+S1</v>
      </c>
      <c r="G13" s="16">
        <f>_xlfn.IFS($G$8='Blaze Stacking Data'!$J$9,'Blaze Stacking Data'!K14,$G$8='Blaze Stacking Data'!$J$19,'Blaze Stacking Data'!K24,$G$8='Blaze Stacking Data'!$J$30,'Blaze Stacking Data'!K35,$G$8='Blaze Stacking Data'!$J$41,'Blaze Stacking Data'!K46,$G$8="-","0")</f>
        <v>12</v>
      </c>
      <c r="H13" s="16" t="str">
        <f>_xlfn.IFS($I$8='Blaze Stacking Data'!$J$9,'Blaze Stacking Data'!L14,$I$8='Blaze Stacking Data'!$J$19,'Blaze Stacking Data'!L24,$I$8='Blaze Stacking Data'!$J$30,'Blaze Stacking Data'!L35,$I$8='Blaze Stacking Data'!$J$41,'Blaze Stacking Data'!L46,$I$8="-","")</f>
        <v/>
      </c>
      <c r="I13" s="16" t="str">
        <f>_xlfn.IFS($I$8='Blaze Stacking Data'!$J$9,'Blaze Stacking Data'!M14,$I$8='Blaze Stacking Data'!$J$19,'Blaze Stacking Data'!M24,$I$8='Blaze Stacking Data'!$J$30,'Blaze Stacking Data'!M35,$I$8='Blaze Stacking Data'!$J$41,'Blaze Stacking Data'!M46,$I$8="-","0")</f>
        <v>0</v>
      </c>
      <c r="J13" s="2">
        <f t="shared" si="2"/>
        <v>27</v>
      </c>
      <c r="K13" s="1">
        <f t="shared" si="3"/>
        <v>164</v>
      </c>
      <c r="L13" s="3">
        <f t="shared" si="1"/>
        <v>4</v>
      </c>
      <c r="M13" s="4" t="str">
        <f t="shared" si="4"/>
        <v>Yes</v>
      </c>
      <c r="N13" s="4" t="str">
        <f t="shared" si="5"/>
        <v>Yes</v>
      </c>
      <c r="O13" s="5">
        <f t="shared" si="0"/>
        <v>0.2</v>
      </c>
      <c r="P13" s="15"/>
      <c r="T13" s="10"/>
    </row>
    <row r="14" spans="1:20" x14ac:dyDescent="0.25">
      <c r="A14" s="16" t="s">
        <v>84</v>
      </c>
      <c r="B14" s="16" t="str">
        <f>_xlfn.IFS($C$8='Blaze Stacking Data'!$F$9,'Blaze Stacking Data'!F15,$C$8='Blaze Stacking Data'!$F$19,'Blaze Stacking Data'!F25,$C$8='Blaze Stacking Data'!$F$41,'Blaze Stacking Data'!F47,$C$8="-","")</f>
        <v>S3</v>
      </c>
      <c r="C14" s="16">
        <f>_xlfn.IFS($C$8='Blaze Stacking Data'!$F$9,'Blaze Stacking Data'!G15,$C$8='Blaze Stacking Data'!$F$19,'Blaze Stacking Data'!G25,$C$8='Blaze Stacking Data'!$F$41,'Blaze Stacking Data'!G47,$C$8="-","0")</f>
        <v>21</v>
      </c>
      <c r="D14" s="16" t="str">
        <f>_xlfn.IFS($E$8='Blaze Stacking Data'!$H$9,'Blaze Stacking Data'!H15,$E$8='Blaze Stacking Data'!$H$19,'Blaze Stacking Data'!H25,$E$8='Blaze Stacking Data'!$H$30,'Blaze Stacking Data'!H36,$E$8='Blaze Stacking Data'!$H$41,'Blaze Stacking Data'!H47,$E$8="-","")</f>
        <v/>
      </c>
      <c r="E14" s="16" t="str">
        <f>_xlfn.IFS($E$8='Blaze Stacking Data'!$H$9,'Blaze Stacking Data'!I15,$E$8='Blaze Stacking Data'!$H$19,'Blaze Stacking Data'!I25,$E$8='Blaze Stacking Data'!$H$30,'Blaze Stacking Data'!I36,$E$8='Blaze Stacking Data'!$H$41,'Blaze Stacking Data'!I47,$E$8="-","0")</f>
        <v>0</v>
      </c>
      <c r="F14" s="16" t="str">
        <f>_xlfn.IFS($G$8='Blaze Stacking Data'!$J$9,'Blaze Stacking Data'!J15,$G$8='Blaze Stacking Data'!$J$19,'Blaze Stacking Data'!J25,$G$8='Blaze Stacking Data'!$J$30,'Blaze Stacking Data'!J36,$G$8='Blaze Stacking Data'!$J$41,'Blaze Stacking Data'!J47,$G$8="-","")</f>
        <v>S2+S1</v>
      </c>
      <c r="G14" s="16">
        <f>_xlfn.IFS($G$8='Blaze Stacking Data'!$J$9,'Blaze Stacking Data'!K15,$G$8='Blaze Stacking Data'!$J$19,'Blaze Stacking Data'!K25,$G$8='Blaze Stacking Data'!$J$30,'Blaze Stacking Data'!K36,$G$8='Blaze Stacking Data'!$J$41,'Blaze Stacking Data'!K47,$G$8="-","0")</f>
        <v>12</v>
      </c>
      <c r="H14" s="16" t="str">
        <f>_xlfn.IFS($I$8='Blaze Stacking Data'!$J$9,'Blaze Stacking Data'!L15,$I$8='Blaze Stacking Data'!$J$19,'Blaze Stacking Data'!L25,$I$8='Blaze Stacking Data'!$J$30,'Blaze Stacking Data'!L36,$I$8='Blaze Stacking Data'!$J$41,'Blaze Stacking Data'!L47,$I$8="-","")</f>
        <v/>
      </c>
      <c r="I14" s="16" t="str">
        <f>_xlfn.IFS($I$8='Blaze Stacking Data'!$J$9,'Blaze Stacking Data'!M15,$I$8='Blaze Stacking Data'!$J$19,'Blaze Stacking Data'!M25,$I$8='Blaze Stacking Data'!$J$30,'Blaze Stacking Data'!M36,$I$8='Blaze Stacking Data'!$J$41,'Blaze Stacking Data'!M47,$I$8="-","0")</f>
        <v>0</v>
      </c>
      <c r="J14" s="2">
        <f t="shared" si="2"/>
        <v>33</v>
      </c>
      <c r="K14" s="1">
        <f>K13+J14</f>
        <v>197</v>
      </c>
      <c r="L14" s="3">
        <f t="shared" si="1"/>
        <v>5</v>
      </c>
      <c r="M14" s="4" t="str">
        <f t="shared" si="4"/>
        <v>Yes</v>
      </c>
      <c r="N14" s="4" t="str">
        <f t="shared" si="5"/>
        <v>Yes</v>
      </c>
      <c r="O14" s="5">
        <f t="shared" si="0"/>
        <v>0.25</v>
      </c>
      <c r="P14" s="23"/>
      <c r="Q14" s="9"/>
      <c r="R14" s="9"/>
      <c r="S14" s="9"/>
      <c r="T14" s="10"/>
    </row>
    <row r="15" spans="1:20" x14ac:dyDescent="0.25">
      <c r="A15" s="16" t="s">
        <v>85</v>
      </c>
      <c r="B15" s="16" t="str">
        <f>_xlfn.IFS($C$8='Blaze Stacking Data'!$F$9,'Blaze Stacking Data'!F16,$C$8='Blaze Stacking Data'!$F$19,'Blaze Stacking Data'!F26,$C$8='Blaze Stacking Data'!$F$41,'Blaze Stacking Data'!F48,$C$8="-","")</f>
        <v>S2</v>
      </c>
      <c r="C15" s="16">
        <f>_xlfn.IFS($C$8='Blaze Stacking Data'!$F$9,'Blaze Stacking Data'!G16,$C$8='Blaze Stacking Data'!$F$19,'Blaze Stacking Data'!G26,$C$8='Blaze Stacking Data'!$F$41,'Blaze Stacking Data'!G48,$C$8="-","0")</f>
        <v>15</v>
      </c>
      <c r="D15" s="16" t="str">
        <f>_xlfn.IFS($E$8='Blaze Stacking Data'!$H$9,'Blaze Stacking Data'!H16,$E$8='Blaze Stacking Data'!$H$19,'Blaze Stacking Data'!H26,$E$8='Blaze Stacking Data'!$H$30,'Blaze Stacking Data'!H37,$E$8='Blaze Stacking Data'!$H$41,'Blaze Stacking Data'!H48,$E$8="-","")</f>
        <v/>
      </c>
      <c r="E15" s="16" t="str">
        <f>_xlfn.IFS($E$8='Blaze Stacking Data'!$H$9,'Blaze Stacking Data'!I16,$E$8='Blaze Stacking Data'!$H$19,'Blaze Stacking Data'!I26,$E$8='Blaze Stacking Data'!$H$30,'Blaze Stacking Data'!I37,$E$8='Blaze Stacking Data'!$H$41,'Blaze Stacking Data'!I48,$E$8="-","0")</f>
        <v>0</v>
      </c>
      <c r="F15" s="16" t="str">
        <f>_xlfn.IFS($G$8='Blaze Stacking Data'!$J$9,'Blaze Stacking Data'!J16,$G$8='Blaze Stacking Data'!$J$19,'Blaze Stacking Data'!J26,$G$8='Blaze Stacking Data'!$J$30,'Blaze Stacking Data'!J37,$G$8='Blaze Stacking Data'!$J$41,'Blaze Stacking Data'!J48,$G$8="-","")</f>
        <v>S3+S2</v>
      </c>
      <c r="G15" s="16">
        <f>_xlfn.IFS($G$8='Blaze Stacking Data'!$J$9,'Blaze Stacking Data'!K16,$G$8='Blaze Stacking Data'!$J$19,'Blaze Stacking Data'!K26,$G$8='Blaze Stacking Data'!$J$30,'Blaze Stacking Data'!K37,$G$8='Blaze Stacking Data'!$J$41,'Blaze Stacking Data'!K48,$G$8="-","0")</f>
        <v>20</v>
      </c>
      <c r="H15" s="16" t="str">
        <f>_xlfn.IFS($I$8='Blaze Stacking Data'!$J$9,'Blaze Stacking Data'!L16,$I$8='Blaze Stacking Data'!$J$19,'Blaze Stacking Data'!L26,$I$8='Blaze Stacking Data'!$J$30,'Blaze Stacking Data'!L37,$I$8='Blaze Stacking Data'!$J$41,'Blaze Stacking Data'!L48,$I$8="-","")</f>
        <v/>
      </c>
      <c r="I15" s="16" t="str">
        <f>_xlfn.IFS($I$8='Blaze Stacking Data'!$J$9,'Blaze Stacking Data'!M16,$I$8='Blaze Stacking Data'!$J$19,'Blaze Stacking Data'!M26,$I$8='Blaze Stacking Data'!$J$30,'Blaze Stacking Data'!M37,$I$8='Blaze Stacking Data'!$J$41,'Blaze Stacking Data'!M48,$I$8="-","0")</f>
        <v>0</v>
      </c>
      <c r="J15" s="2">
        <f t="shared" si="2"/>
        <v>35</v>
      </c>
      <c r="K15" s="1">
        <f t="shared" si="3"/>
        <v>232</v>
      </c>
      <c r="L15" s="3">
        <f t="shared" si="1"/>
        <v>6</v>
      </c>
      <c r="M15" s="4" t="str">
        <f t="shared" si="4"/>
        <v>Yes</v>
      </c>
      <c r="N15" s="4" t="str">
        <f t="shared" si="5"/>
        <v>Yes</v>
      </c>
      <c r="O15" s="5">
        <f t="shared" si="0"/>
        <v>0.30000000000000004</v>
      </c>
      <c r="P15" s="22"/>
      <c r="Q15" s="15"/>
      <c r="R15" s="12"/>
      <c r="S15" s="12"/>
      <c r="T15" s="11"/>
    </row>
    <row r="16" spans="1:20" x14ac:dyDescent="0.25">
      <c r="A16" s="16" t="s">
        <v>54</v>
      </c>
      <c r="B16" s="16"/>
      <c r="C16" s="16">
        <f>SUM(C9:C15)</f>
        <v>114</v>
      </c>
      <c r="D16" s="16"/>
      <c r="E16" s="16">
        <f>SUM(E9:E15)</f>
        <v>0</v>
      </c>
      <c r="F16" s="16"/>
      <c r="G16" s="16">
        <f>SUM(G9:G15)</f>
        <v>118</v>
      </c>
      <c r="H16" s="16"/>
      <c r="I16" s="16">
        <f>SUM(I9:I15)</f>
        <v>0</v>
      </c>
      <c r="J16" s="29"/>
      <c r="K16" s="29"/>
      <c r="L16" s="29"/>
      <c r="M16" s="29"/>
      <c r="N16" s="29"/>
      <c r="O16" s="29"/>
    </row>
    <row r="17" spans="1:15" ht="15.75" thickBot="1" x14ac:dyDescent="0.3">
      <c r="A17" s="17" t="s">
        <v>95</v>
      </c>
      <c r="B17" s="17"/>
      <c r="C17" s="20">
        <f>SUM(C9:C15)/7</f>
        <v>16.285714285714285</v>
      </c>
      <c r="D17" s="17"/>
      <c r="E17" s="20">
        <f>SUM(E9:E15)/7</f>
        <v>0</v>
      </c>
      <c r="F17" s="17"/>
      <c r="G17" s="20">
        <f>SUM(G9:G15)/7</f>
        <v>16.857142857142858</v>
      </c>
      <c r="H17" s="17"/>
      <c r="I17" s="20">
        <f>SUM(I9:I15)/7</f>
        <v>0</v>
      </c>
      <c r="J17" s="29"/>
      <c r="K17" s="29"/>
      <c r="L17" s="29"/>
      <c r="M17" s="29"/>
      <c r="N17" s="29"/>
      <c r="O17" s="29"/>
    </row>
  </sheetData>
  <mergeCells count="16">
    <mergeCell ref="J5:M5"/>
    <mergeCell ref="B4:I4"/>
    <mergeCell ref="J16:O16"/>
    <mergeCell ref="M7:M8"/>
    <mergeCell ref="O7:O8"/>
    <mergeCell ref="B5:D5"/>
    <mergeCell ref="N7:N8"/>
    <mergeCell ref="H7:H8"/>
    <mergeCell ref="J17:O17"/>
    <mergeCell ref="A7:A8"/>
    <mergeCell ref="B7:B8"/>
    <mergeCell ref="F7:F8"/>
    <mergeCell ref="D7:D8"/>
    <mergeCell ref="L7:L8"/>
    <mergeCell ref="K7:K8"/>
    <mergeCell ref="J7:J8"/>
  </mergeCells>
  <phoneticPr fontId="2" type="noConversion"/>
  <conditionalFormatting sqref="M9:N15">
    <cfRule type="containsText" dxfId="15" priority="15" operator="containsText" text="YES">
      <formula>NOT(ISERROR(SEARCH("YES",M9)))</formula>
    </cfRule>
    <cfRule type="containsText" dxfId="14" priority="16" operator="containsText" text="NO">
      <formula>NOT(ISERROR(SEARCH("NO",M9)))</formula>
    </cfRule>
  </conditionalFormatting>
  <conditionalFormatting sqref="B5:D5">
    <cfRule type="expression" dxfId="13" priority="13">
      <formula>$B$5&lt;&gt;""</formula>
    </cfRule>
  </conditionalFormatting>
  <conditionalFormatting sqref="F5 H5">
    <cfRule type="expression" dxfId="12" priority="6">
      <formula>$C$8="V6"</formula>
    </cfRule>
  </conditionalFormatting>
  <conditionalFormatting sqref="G5 I5">
    <cfRule type="expression" dxfId="11" priority="5">
      <formula>$C$8="V6"</formula>
    </cfRule>
  </conditionalFormatting>
  <conditionalFormatting sqref="E5">
    <cfRule type="expression" dxfId="10" priority="21">
      <formula>$B$5&lt;&gt;""</formula>
    </cfRule>
  </conditionalFormatting>
  <conditionalFormatting sqref="Q3:R8 S4">
    <cfRule type="expression" dxfId="9" priority="2">
      <formula>$C$8="V6"</formula>
    </cfRule>
  </conditionalFormatting>
  <conditionalFormatting sqref="H2">
    <cfRule type="expression" dxfId="8" priority="1">
      <formula>$C$8="V6"</formula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EDC4746-D818-43FE-9A19-875DB7BA1610}">
          <x14:formula1>
            <xm:f>'Lewis Conf. Index'!$B$26:$B$31</xm:f>
          </x14:formula1>
          <xm:sqref>G5 I5</xm:sqref>
        </x14:dataValidation>
        <x14:dataValidation type="list" allowBlank="1" showInputMessage="1" showErrorMessage="1" xr:uid="{80F8E46F-381F-4148-B30B-8B49CAE4DF98}">
          <x14:formula1>
            <xm:f>'Blaze Stacking Data'!$H$1:$K$1</xm:f>
          </x14:formula1>
          <xm:sqref>C8</xm:sqref>
        </x14:dataValidation>
        <x14:dataValidation type="list" allowBlank="1" showInputMessage="1" showErrorMessage="1" xr:uid="{20483BC8-3F28-426E-A35A-23990BD5E10E}">
          <x14:formula1>
            <xm:f>'Blaze Stacking Data'!$H$2:$L$2</xm:f>
          </x14:formula1>
          <xm:sqref>E8</xm:sqref>
        </x14:dataValidation>
        <x14:dataValidation type="list" allowBlank="1" showInputMessage="1" showErrorMessage="1" xr:uid="{5140CD98-1BB2-4F01-B33C-59D09ABE446C}">
          <x14:formula1>
            <xm:f>'Blaze Stacking Data'!$H$4:$J$4</xm:f>
          </x14:formula1>
          <xm:sqref>I8</xm:sqref>
        </x14:dataValidation>
        <x14:dataValidation type="list" allowBlank="1" showInputMessage="1" showErrorMessage="1" xr:uid="{9C09B834-BD57-479F-A51A-246C388BBF7D}">
          <x14:formula1>
            <xm:f>'Blaze Stacking Data'!$H$3:$L$3</xm:f>
          </x14:formula1>
          <xm:sqref>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D209-0EC0-449F-96C2-B2AF7A365E6E}">
  <dimension ref="A1:P49"/>
  <sheetViews>
    <sheetView topLeftCell="C27" zoomScaleNormal="100" workbookViewId="0">
      <selection activeCell="K43" sqref="K43"/>
    </sheetView>
  </sheetViews>
  <sheetFormatPr defaultRowHeight="15" x14ac:dyDescent="0.25"/>
  <cols>
    <col min="1" max="1" width="10.140625" customWidth="1"/>
    <col min="2" max="2" width="30.28515625" bestFit="1" customWidth="1"/>
    <col min="3" max="3" width="35.140625" bestFit="1" customWidth="1"/>
    <col min="5" max="5" width="11" bestFit="1" customWidth="1"/>
    <col min="6" max="6" width="12.28515625" customWidth="1"/>
  </cols>
  <sheetData>
    <row r="1" spans="1:16" x14ac:dyDescent="0.25">
      <c r="A1" t="s">
        <v>40</v>
      </c>
      <c r="F1" t="s">
        <v>93</v>
      </c>
      <c r="G1" t="s">
        <v>20</v>
      </c>
      <c r="H1" t="s">
        <v>1</v>
      </c>
      <c r="I1" t="s">
        <v>17</v>
      </c>
      <c r="J1" t="s">
        <v>19</v>
      </c>
      <c r="K1" t="s">
        <v>44</v>
      </c>
    </row>
    <row r="2" spans="1:16" x14ac:dyDescent="0.25">
      <c r="G2" t="s">
        <v>0</v>
      </c>
      <c r="H2" t="s">
        <v>1</v>
      </c>
      <c r="I2" t="s">
        <v>17</v>
      </c>
      <c r="J2" t="s">
        <v>72</v>
      </c>
      <c r="K2" t="s">
        <v>19</v>
      </c>
      <c r="L2" t="s">
        <v>44</v>
      </c>
    </row>
    <row r="3" spans="1:16" x14ac:dyDescent="0.25">
      <c r="A3" t="s">
        <v>41</v>
      </c>
      <c r="B3" t="s">
        <v>42</v>
      </c>
      <c r="C3" t="s">
        <v>43</v>
      </c>
      <c r="G3" t="s">
        <v>51</v>
      </c>
      <c r="H3" t="s">
        <v>1</v>
      </c>
      <c r="I3" t="s">
        <v>50</v>
      </c>
      <c r="J3" t="s">
        <v>17</v>
      </c>
      <c r="K3" t="s">
        <v>28</v>
      </c>
      <c r="L3" t="s">
        <v>44</v>
      </c>
    </row>
    <row r="4" spans="1:16" x14ac:dyDescent="0.25">
      <c r="A4" t="s">
        <v>51</v>
      </c>
      <c r="B4" t="s">
        <v>70</v>
      </c>
      <c r="C4" t="s">
        <v>62</v>
      </c>
      <c r="G4" t="s">
        <v>92</v>
      </c>
      <c r="H4" t="s">
        <v>1</v>
      </c>
      <c r="I4" t="s">
        <v>50</v>
      </c>
      <c r="J4" t="s">
        <v>44</v>
      </c>
    </row>
    <row r="5" spans="1:16" x14ac:dyDescent="0.25">
      <c r="A5" t="s">
        <v>0</v>
      </c>
      <c r="B5" t="s">
        <v>48</v>
      </c>
      <c r="C5" t="s">
        <v>69</v>
      </c>
    </row>
    <row r="6" spans="1:16" x14ac:dyDescent="0.25">
      <c r="A6" t="s">
        <v>20</v>
      </c>
      <c r="B6" t="s">
        <v>60</v>
      </c>
      <c r="C6" t="s">
        <v>44</v>
      </c>
    </row>
    <row r="7" spans="1:16" x14ac:dyDescent="0.25">
      <c r="A7" t="s">
        <v>92</v>
      </c>
      <c r="B7" t="s">
        <v>6</v>
      </c>
      <c r="C7" t="s">
        <v>44</v>
      </c>
      <c r="E7" s="44" t="s">
        <v>71</v>
      </c>
      <c r="F7" s="44"/>
      <c r="G7" s="44"/>
      <c r="H7" s="44"/>
      <c r="I7" s="44"/>
      <c r="J7" s="44"/>
      <c r="K7" s="44"/>
      <c r="L7" s="44"/>
      <c r="M7" s="44"/>
      <c r="N7" s="44"/>
    </row>
    <row r="8" spans="1:16" x14ac:dyDescent="0.25">
      <c r="F8" t="s">
        <v>13</v>
      </c>
      <c r="G8" t="s">
        <v>20</v>
      </c>
      <c r="H8" t="s">
        <v>13</v>
      </c>
      <c r="I8" t="s">
        <v>0</v>
      </c>
      <c r="J8" t="s">
        <v>13</v>
      </c>
      <c r="K8" t="s">
        <v>51</v>
      </c>
      <c r="L8" t="s">
        <v>13</v>
      </c>
      <c r="M8" t="s">
        <v>92</v>
      </c>
      <c r="N8" t="s">
        <v>49</v>
      </c>
      <c r="O8" t="s">
        <v>5</v>
      </c>
      <c r="P8" t="s">
        <v>18</v>
      </c>
    </row>
    <row r="9" spans="1:16" x14ac:dyDescent="0.25">
      <c r="E9" t="s">
        <v>45</v>
      </c>
      <c r="F9" t="s">
        <v>1</v>
      </c>
      <c r="H9" t="s">
        <v>1</v>
      </c>
      <c r="J9" t="s">
        <v>1</v>
      </c>
      <c r="L9" t="s">
        <v>1</v>
      </c>
    </row>
    <row r="10" spans="1:16" x14ac:dyDescent="0.25">
      <c r="E10" t="s">
        <v>2</v>
      </c>
      <c r="F10" t="s">
        <v>4</v>
      </c>
      <c r="G10">
        <v>6</v>
      </c>
      <c r="H10" t="s">
        <v>16</v>
      </c>
      <c r="I10">
        <v>6</v>
      </c>
      <c r="J10" t="s">
        <v>46</v>
      </c>
      <c r="K10">
        <f>10+8+3</f>
        <v>21</v>
      </c>
      <c r="L10" t="s">
        <v>47</v>
      </c>
      <c r="M10">
        <v>13</v>
      </c>
      <c r="N10">
        <f>SUM(K10,I10,G10,M10)</f>
        <v>46</v>
      </c>
      <c r="O10">
        <f>N10</f>
        <v>46</v>
      </c>
      <c r="P10">
        <f>ROUNDDOWN(O10/35,0)</f>
        <v>1</v>
      </c>
    </row>
    <row r="11" spans="1:16" x14ac:dyDescent="0.25">
      <c r="E11" t="s">
        <v>3</v>
      </c>
      <c r="F11" t="s">
        <v>6</v>
      </c>
      <c r="G11">
        <v>6</v>
      </c>
      <c r="H11" t="s">
        <v>8</v>
      </c>
      <c r="I11">
        <v>12</v>
      </c>
      <c r="J11" t="s">
        <v>96</v>
      </c>
      <c r="K11">
        <f>3</f>
        <v>3</v>
      </c>
      <c r="L11" t="s">
        <v>94</v>
      </c>
      <c r="M11">
        <v>0</v>
      </c>
      <c r="N11">
        <f t="shared" ref="N11:N16" si="0">SUM(K11,I11,G11,M11)</f>
        <v>21</v>
      </c>
      <c r="O11">
        <f>O10+N11</f>
        <v>67</v>
      </c>
      <c r="P11">
        <f t="shared" ref="P11:P16" si="1">ROUNDDOWN(O11/35,0)</f>
        <v>1</v>
      </c>
    </row>
    <row r="12" spans="1:16" x14ac:dyDescent="0.25">
      <c r="E12" t="s">
        <v>11</v>
      </c>
      <c r="F12" t="s">
        <v>7</v>
      </c>
      <c r="G12">
        <v>12</v>
      </c>
      <c r="H12" t="s">
        <v>4</v>
      </c>
      <c r="I12">
        <v>10</v>
      </c>
      <c r="J12" t="s">
        <v>96</v>
      </c>
      <c r="K12">
        <v>3</v>
      </c>
      <c r="L12" t="s">
        <v>47</v>
      </c>
      <c r="M12">
        <v>13</v>
      </c>
      <c r="N12">
        <f t="shared" si="0"/>
        <v>38</v>
      </c>
      <c r="O12">
        <f t="shared" ref="O12:O16" si="2">O11+N12</f>
        <v>105</v>
      </c>
      <c r="P12">
        <f t="shared" si="1"/>
        <v>3</v>
      </c>
    </row>
    <row r="13" spans="1:16" x14ac:dyDescent="0.25">
      <c r="E13" t="s">
        <v>12</v>
      </c>
      <c r="F13" t="s">
        <v>4</v>
      </c>
      <c r="G13">
        <v>6</v>
      </c>
      <c r="H13" t="s">
        <v>16</v>
      </c>
      <c r="I13">
        <v>4</v>
      </c>
      <c r="J13" t="s">
        <v>46</v>
      </c>
      <c r="K13">
        <f>8+3</f>
        <v>11</v>
      </c>
      <c r="L13" t="s">
        <v>94</v>
      </c>
      <c r="M13">
        <v>0</v>
      </c>
      <c r="N13">
        <f t="shared" si="0"/>
        <v>21</v>
      </c>
      <c r="O13">
        <f t="shared" si="2"/>
        <v>126</v>
      </c>
      <c r="P13">
        <f t="shared" si="1"/>
        <v>3</v>
      </c>
    </row>
    <row r="14" spans="1:16" x14ac:dyDescent="0.25">
      <c r="E14" t="s">
        <v>21</v>
      </c>
      <c r="F14" t="s">
        <v>6</v>
      </c>
      <c r="G14">
        <v>6</v>
      </c>
      <c r="H14" t="s">
        <v>8</v>
      </c>
      <c r="I14">
        <v>12</v>
      </c>
      <c r="J14" t="s">
        <v>96</v>
      </c>
      <c r="K14">
        <v>3</v>
      </c>
      <c r="L14" t="s">
        <v>47</v>
      </c>
      <c r="M14">
        <v>13</v>
      </c>
      <c r="N14">
        <f t="shared" si="0"/>
        <v>34</v>
      </c>
      <c r="O14">
        <f t="shared" si="2"/>
        <v>160</v>
      </c>
      <c r="P14">
        <f t="shared" si="1"/>
        <v>4</v>
      </c>
    </row>
    <row r="15" spans="1:16" x14ac:dyDescent="0.25">
      <c r="E15" t="s">
        <v>14</v>
      </c>
      <c r="F15" t="s">
        <v>7</v>
      </c>
      <c r="G15">
        <v>12</v>
      </c>
      <c r="H15" t="s">
        <v>4</v>
      </c>
      <c r="I15">
        <v>10</v>
      </c>
      <c r="J15" t="s">
        <v>96</v>
      </c>
      <c r="K15">
        <v>3</v>
      </c>
      <c r="L15" t="s">
        <v>94</v>
      </c>
      <c r="M15">
        <v>0</v>
      </c>
      <c r="N15">
        <f t="shared" si="0"/>
        <v>25</v>
      </c>
      <c r="O15">
        <f t="shared" si="2"/>
        <v>185</v>
      </c>
      <c r="P15">
        <f t="shared" si="1"/>
        <v>5</v>
      </c>
    </row>
    <row r="16" spans="1:16" x14ac:dyDescent="0.25">
      <c r="E16" t="s">
        <v>15</v>
      </c>
      <c r="F16" t="s">
        <v>4</v>
      </c>
      <c r="G16">
        <v>6</v>
      </c>
      <c r="H16" t="s">
        <v>7</v>
      </c>
      <c r="I16">
        <v>4</v>
      </c>
      <c r="J16" t="s">
        <v>46</v>
      </c>
      <c r="K16">
        <f>8+3</f>
        <v>11</v>
      </c>
      <c r="L16" t="s">
        <v>47</v>
      </c>
      <c r="M16">
        <v>13</v>
      </c>
      <c r="N16">
        <f t="shared" si="0"/>
        <v>34</v>
      </c>
      <c r="O16">
        <f t="shared" si="2"/>
        <v>219</v>
      </c>
      <c r="P16">
        <f t="shared" si="1"/>
        <v>6</v>
      </c>
    </row>
    <row r="17" spans="5:16" x14ac:dyDescent="0.25">
      <c r="G17">
        <f>SUM(G10:G16)</f>
        <v>54</v>
      </c>
      <c r="I17">
        <f>SUM(I10:I16)</f>
        <v>58</v>
      </c>
      <c r="K17">
        <f>SUM(K10:K16)</f>
        <v>55</v>
      </c>
      <c r="M17">
        <f>SUM(M10:M16)</f>
        <v>52</v>
      </c>
    </row>
    <row r="18" spans="5:16" x14ac:dyDescent="0.25">
      <c r="F18" t="s">
        <v>13</v>
      </c>
      <c r="G18" t="s">
        <v>20</v>
      </c>
      <c r="H18" t="s">
        <v>13</v>
      </c>
      <c r="I18" t="s">
        <v>0</v>
      </c>
      <c r="J18" t="s">
        <v>13</v>
      </c>
      <c r="K18" t="s">
        <v>51</v>
      </c>
      <c r="L18" t="s">
        <v>13</v>
      </c>
      <c r="M18" t="s">
        <v>92</v>
      </c>
      <c r="N18" t="s">
        <v>49</v>
      </c>
      <c r="O18" t="s">
        <v>5</v>
      </c>
      <c r="P18" t="s">
        <v>18</v>
      </c>
    </row>
    <row r="19" spans="5:16" x14ac:dyDescent="0.25">
      <c r="E19" t="s">
        <v>45</v>
      </c>
      <c r="F19" t="s">
        <v>17</v>
      </c>
      <c r="H19" t="s">
        <v>17</v>
      </c>
      <c r="J19" t="s">
        <v>50</v>
      </c>
      <c r="L19" t="s">
        <v>50</v>
      </c>
    </row>
    <row r="20" spans="5:16" x14ac:dyDescent="0.25">
      <c r="E20" t="s">
        <v>2</v>
      </c>
      <c r="F20" t="s">
        <v>4</v>
      </c>
      <c r="G20">
        <v>6</v>
      </c>
      <c r="H20" t="s">
        <v>16</v>
      </c>
      <c r="I20">
        <v>6</v>
      </c>
      <c r="J20" t="s">
        <v>46</v>
      </c>
      <c r="K20">
        <f>10+8+3+3</f>
        <v>24</v>
      </c>
      <c r="L20" t="s">
        <v>47</v>
      </c>
      <c r="M20">
        <v>13</v>
      </c>
      <c r="N20">
        <f>SUM(K20,I20,G20,M20)</f>
        <v>49</v>
      </c>
      <c r="O20">
        <f>N20</f>
        <v>49</v>
      </c>
      <c r="P20">
        <f>ROUNDDOWN(O20/35,0)</f>
        <v>1</v>
      </c>
    </row>
    <row r="21" spans="5:16" x14ac:dyDescent="0.25">
      <c r="E21" t="s">
        <v>3</v>
      </c>
      <c r="F21" t="s">
        <v>6</v>
      </c>
      <c r="G21">
        <v>6</v>
      </c>
      <c r="H21" t="s">
        <v>8</v>
      </c>
      <c r="I21">
        <v>12</v>
      </c>
      <c r="J21" t="s">
        <v>96</v>
      </c>
      <c r="K21">
        <f>3+3+3</f>
        <v>9</v>
      </c>
      <c r="L21" t="s">
        <v>47</v>
      </c>
      <c r="M21">
        <v>13</v>
      </c>
      <c r="N21">
        <f t="shared" ref="N21:N26" si="3">SUM(K21,I21,G21,M21)</f>
        <v>40</v>
      </c>
      <c r="O21">
        <f>O20+N21</f>
        <v>89</v>
      </c>
      <c r="P21">
        <f t="shared" ref="P21:P26" si="4">ROUNDDOWN(O21/35,0)</f>
        <v>2</v>
      </c>
    </row>
    <row r="22" spans="5:16" x14ac:dyDescent="0.25">
      <c r="E22" t="s">
        <v>11</v>
      </c>
      <c r="F22" t="s">
        <v>7</v>
      </c>
      <c r="G22">
        <v>12</v>
      </c>
      <c r="H22" t="s">
        <v>8</v>
      </c>
      <c r="I22">
        <v>12</v>
      </c>
      <c r="J22" t="s">
        <v>96</v>
      </c>
      <c r="K22">
        <f>3+3+3</f>
        <v>9</v>
      </c>
      <c r="L22" t="s">
        <v>47</v>
      </c>
      <c r="M22">
        <v>13</v>
      </c>
      <c r="N22">
        <f t="shared" si="3"/>
        <v>46</v>
      </c>
      <c r="O22">
        <f t="shared" ref="O22:O26" si="5">O21+N22</f>
        <v>135</v>
      </c>
      <c r="P22">
        <f t="shared" si="4"/>
        <v>3</v>
      </c>
    </row>
    <row r="23" spans="5:16" x14ac:dyDescent="0.25">
      <c r="E23" t="s">
        <v>12</v>
      </c>
      <c r="F23" t="s">
        <v>7</v>
      </c>
      <c r="G23">
        <v>12</v>
      </c>
      <c r="H23" t="s">
        <v>7</v>
      </c>
      <c r="I23">
        <v>4</v>
      </c>
      <c r="J23" t="s">
        <v>46</v>
      </c>
      <c r="K23">
        <f>8+3+3+3</f>
        <v>17</v>
      </c>
      <c r="L23" t="s">
        <v>47</v>
      </c>
      <c r="M23">
        <v>13</v>
      </c>
      <c r="N23">
        <f t="shared" si="3"/>
        <v>46</v>
      </c>
      <c r="O23">
        <f t="shared" si="5"/>
        <v>181</v>
      </c>
      <c r="P23">
        <f t="shared" si="4"/>
        <v>5</v>
      </c>
    </row>
    <row r="24" spans="5:16" x14ac:dyDescent="0.25">
      <c r="E24" t="s">
        <v>21</v>
      </c>
      <c r="F24" t="s">
        <v>4</v>
      </c>
      <c r="G24">
        <v>6</v>
      </c>
      <c r="H24" t="s">
        <v>8</v>
      </c>
      <c r="I24">
        <v>12</v>
      </c>
      <c r="J24" t="s">
        <v>96</v>
      </c>
      <c r="K24">
        <f>3+3+3</f>
        <v>9</v>
      </c>
      <c r="L24" t="s">
        <v>47</v>
      </c>
      <c r="M24">
        <v>13</v>
      </c>
      <c r="N24">
        <f t="shared" si="3"/>
        <v>40</v>
      </c>
      <c r="O24">
        <f t="shared" si="5"/>
        <v>221</v>
      </c>
      <c r="P24">
        <f t="shared" si="4"/>
        <v>6</v>
      </c>
    </row>
    <row r="25" spans="5:16" x14ac:dyDescent="0.25">
      <c r="E25" t="s">
        <v>14</v>
      </c>
      <c r="F25" t="s">
        <v>7</v>
      </c>
      <c r="G25">
        <v>12</v>
      </c>
      <c r="H25" t="s">
        <v>8</v>
      </c>
      <c r="I25">
        <v>12</v>
      </c>
      <c r="J25" t="s">
        <v>96</v>
      </c>
      <c r="K25">
        <f>3+3+3</f>
        <v>9</v>
      </c>
      <c r="L25" t="s">
        <v>47</v>
      </c>
      <c r="M25">
        <v>13</v>
      </c>
      <c r="N25">
        <f t="shared" si="3"/>
        <v>46</v>
      </c>
      <c r="O25">
        <f t="shared" si="5"/>
        <v>267</v>
      </c>
      <c r="P25">
        <f t="shared" si="4"/>
        <v>7</v>
      </c>
    </row>
    <row r="26" spans="5:16" x14ac:dyDescent="0.25">
      <c r="E26" t="s">
        <v>15</v>
      </c>
      <c r="F26" t="s">
        <v>4</v>
      </c>
      <c r="G26">
        <v>6</v>
      </c>
      <c r="H26" t="s">
        <v>16</v>
      </c>
      <c r="I26">
        <v>4</v>
      </c>
      <c r="J26" t="s">
        <v>46</v>
      </c>
      <c r="K26">
        <f>8+3+3+3</f>
        <v>17</v>
      </c>
      <c r="L26" t="s">
        <v>47</v>
      </c>
      <c r="M26">
        <v>13</v>
      </c>
      <c r="N26">
        <f t="shared" si="3"/>
        <v>40</v>
      </c>
      <c r="O26">
        <f t="shared" si="5"/>
        <v>307</v>
      </c>
      <c r="P26">
        <f t="shared" si="4"/>
        <v>8</v>
      </c>
    </row>
    <row r="27" spans="5:16" x14ac:dyDescent="0.25">
      <c r="G27">
        <f>SUM(G20:G26)</f>
        <v>60</v>
      </c>
      <c r="I27">
        <f>SUM(I20:I26)</f>
        <v>62</v>
      </c>
      <c r="K27">
        <f>SUM(K20:K26)</f>
        <v>94</v>
      </c>
      <c r="M27">
        <f>SUM(M20:M26)</f>
        <v>91</v>
      </c>
    </row>
    <row r="29" spans="5:16" x14ac:dyDescent="0.25">
      <c r="F29" t="s">
        <v>13</v>
      </c>
      <c r="G29" t="s">
        <v>20</v>
      </c>
      <c r="H29" t="s">
        <v>13</v>
      </c>
      <c r="I29" t="s">
        <v>0</v>
      </c>
      <c r="J29" t="s">
        <v>13</v>
      </c>
      <c r="K29" t="s">
        <v>51</v>
      </c>
      <c r="N29" t="s">
        <v>49</v>
      </c>
      <c r="O29" t="s">
        <v>5</v>
      </c>
      <c r="P29" t="s">
        <v>18</v>
      </c>
    </row>
    <row r="30" spans="5:16" x14ac:dyDescent="0.25">
      <c r="E30" t="s">
        <v>45</v>
      </c>
      <c r="F30" t="s">
        <v>17</v>
      </c>
      <c r="H30" t="s">
        <v>72</v>
      </c>
      <c r="J30" t="s">
        <v>17</v>
      </c>
    </row>
    <row r="31" spans="5:16" x14ac:dyDescent="0.25">
      <c r="E31" t="s">
        <v>2</v>
      </c>
      <c r="F31" t="s">
        <v>4</v>
      </c>
      <c r="G31">
        <v>6</v>
      </c>
      <c r="H31" t="s">
        <v>16</v>
      </c>
      <c r="I31">
        <v>6</v>
      </c>
      <c r="J31" t="s">
        <v>46</v>
      </c>
      <c r="K31">
        <f>10+8+3+3+3+3</f>
        <v>30</v>
      </c>
      <c r="N31">
        <f t="shared" ref="N31:N37" si="6">SUM(K31,I31,G31)</f>
        <v>42</v>
      </c>
      <c r="O31">
        <f>N31</f>
        <v>42</v>
      </c>
      <c r="P31">
        <f>ROUNDDOWN(O31/35,0)</f>
        <v>1</v>
      </c>
    </row>
    <row r="32" spans="5:16" x14ac:dyDescent="0.25">
      <c r="E32" t="s">
        <v>3</v>
      </c>
      <c r="F32" t="s">
        <v>6</v>
      </c>
      <c r="G32">
        <v>6</v>
      </c>
      <c r="H32" t="s">
        <v>8</v>
      </c>
      <c r="I32">
        <v>14</v>
      </c>
      <c r="J32" t="s">
        <v>47</v>
      </c>
      <c r="K32">
        <f>3+3+3+3</f>
        <v>12</v>
      </c>
      <c r="N32">
        <f t="shared" si="6"/>
        <v>32</v>
      </c>
      <c r="O32">
        <f>O31+N32</f>
        <v>74</v>
      </c>
      <c r="P32">
        <f t="shared" ref="P32:P37" si="7">ROUNDDOWN(O32/35,0)</f>
        <v>2</v>
      </c>
    </row>
    <row r="33" spans="5:16" x14ac:dyDescent="0.25">
      <c r="E33" t="s">
        <v>11</v>
      </c>
      <c r="F33" t="s">
        <v>7</v>
      </c>
      <c r="G33">
        <v>12</v>
      </c>
      <c r="H33" t="s">
        <v>8</v>
      </c>
      <c r="I33">
        <v>14</v>
      </c>
      <c r="J33" t="s">
        <v>47</v>
      </c>
      <c r="K33">
        <f>3+3+3+3</f>
        <v>12</v>
      </c>
      <c r="N33">
        <f t="shared" si="6"/>
        <v>38</v>
      </c>
      <c r="O33">
        <f>O32+N33</f>
        <v>112</v>
      </c>
      <c r="P33">
        <f t="shared" si="7"/>
        <v>3</v>
      </c>
    </row>
    <row r="34" spans="5:16" x14ac:dyDescent="0.25">
      <c r="E34" t="s">
        <v>12</v>
      </c>
      <c r="F34" t="s">
        <v>7</v>
      </c>
      <c r="G34">
        <v>12</v>
      </c>
      <c r="H34" t="s">
        <v>7</v>
      </c>
      <c r="I34">
        <v>4</v>
      </c>
      <c r="J34" t="s">
        <v>46</v>
      </c>
      <c r="K34">
        <f>8+3+3+3+3</f>
        <v>20</v>
      </c>
      <c r="N34">
        <f t="shared" si="6"/>
        <v>36</v>
      </c>
      <c r="O34">
        <f t="shared" ref="O34:O37" si="8">O33+N34</f>
        <v>148</v>
      </c>
      <c r="P34">
        <f t="shared" si="7"/>
        <v>4</v>
      </c>
    </row>
    <row r="35" spans="5:16" x14ac:dyDescent="0.25">
      <c r="E35" t="s">
        <v>21</v>
      </c>
      <c r="F35" t="s">
        <v>4</v>
      </c>
      <c r="G35">
        <v>6</v>
      </c>
      <c r="H35" t="s">
        <v>8</v>
      </c>
      <c r="I35">
        <v>14</v>
      </c>
      <c r="J35" t="s">
        <v>47</v>
      </c>
      <c r="K35">
        <f>3+3+3+3</f>
        <v>12</v>
      </c>
      <c r="N35">
        <f t="shared" si="6"/>
        <v>32</v>
      </c>
      <c r="O35">
        <f t="shared" si="8"/>
        <v>180</v>
      </c>
      <c r="P35">
        <f t="shared" si="7"/>
        <v>5</v>
      </c>
    </row>
    <row r="36" spans="5:16" x14ac:dyDescent="0.25">
      <c r="E36" t="s">
        <v>14</v>
      </c>
      <c r="F36" t="s">
        <v>7</v>
      </c>
      <c r="G36">
        <v>12</v>
      </c>
      <c r="H36" t="s">
        <v>8</v>
      </c>
      <c r="I36">
        <v>14</v>
      </c>
      <c r="J36" t="s">
        <v>47</v>
      </c>
      <c r="K36">
        <f>3+3+3+3</f>
        <v>12</v>
      </c>
      <c r="N36">
        <f t="shared" si="6"/>
        <v>38</v>
      </c>
      <c r="O36">
        <f t="shared" si="8"/>
        <v>218</v>
      </c>
      <c r="P36">
        <f t="shared" si="7"/>
        <v>6</v>
      </c>
    </row>
    <row r="37" spans="5:16" x14ac:dyDescent="0.25">
      <c r="E37" t="s">
        <v>15</v>
      </c>
      <c r="F37" t="s">
        <v>4</v>
      </c>
      <c r="G37">
        <v>6</v>
      </c>
      <c r="H37" t="s">
        <v>16</v>
      </c>
      <c r="I37">
        <v>4</v>
      </c>
      <c r="J37" t="s">
        <v>46</v>
      </c>
      <c r="K37">
        <f>8+3+3+3+3</f>
        <v>20</v>
      </c>
      <c r="N37">
        <f t="shared" si="6"/>
        <v>30</v>
      </c>
      <c r="O37">
        <f t="shared" si="8"/>
        <v>248</v>
      </c>
      <c r="P37">
        <f t="shared" si="7"/>
        <v>7</v>
      </c>
    </row>
    <row r="38" spans="5:16" x14ac:dyDescent="0.25">
      <c r="G38">
        <f>SUM(G31:G37)</f>
        <v>60</v>
      </c>
      <c r="I38">
        <f>SUM(I31:I37)</f>
        <v>70</v>
      </c>
      <c r="K38">
        <f>SUM(K31:K37)</f>
        <v>118</v>
      </c>
    </row>
    <row r="40" spans="5:16" x14ac:dyDescent="0.25">
      <c r="F40" t="s">
        <v>13</v>
      </c>
      <c r="G40" t="s">
        <v>20</v>
      </c>
      <c r="H40" t="s">
        <v>13</v>
      </c>
      <c r="I40" t="s">
        <v>0</v>
      </c>
      <c r="J40" t="s">
        <v>13</v>
      </c>
      <c r="K40" t="s">
        <v>51</v>
      </c>
      <c r="N40" t="s">
        <v>49</v>
      </c>
      <c r="O40" t="s">
        <v>5</v>
      </c>
      <c r="P40" t="s">
        <v>18</v>
      </c>
    </row>
    <row r="41" spans="5:16" x14ac:dyDescent="0.25">
      <c r="E41" t="s">
        <v>45</v>
      </c>
      <c r="F41" t="s">
        <v>19</v>
      </c>
      <c r="H41" t="s">
        <v>19</v>
      </c>
      <c r="J41" t="s">
        <v>28</v>
      </c>
    </row>
    <row r="42" spans="5:16" x14ac:dyDescent="0.25">
      <c r="E42" t="s">
        <v>2</v>
      </c>
      <c r="F42" t="s">
        <v>4</v>
      </c>
      <c r="G42">
        <f>'Lewis Conf. Index'!M24</f>
        <v>6</v>
      </c>
      <c r="H42" t="s">
        <v>16</v>
      </c>
      <c r="I42">
        <v>12</v>
      </c>
      <c r="J42" t="s">
        <v>46</v>
      </c>
      <c r="K42">
        <f>10+12+3+3+3+3</f>
        <v>34</v>
      </c>
      <c r="N42">
        <f t="shared" ref="N42:N48" si="9">SUM(K42,I42,G42)</f>
        <v>52</v>
      </c>
      <c r="O42">
        <f>N42</f>
        <v>52</v>
      </c>
      <c r="P42">
        <f>ROUNDDOWN(O42/35,0)</f>
        <v>1</v>
      </c>
    </row>
    <row r="43" spans="5:16" x14ac:dyDescent="0.25">
      <c r="E43" t="s">
        <v>3</v>
      </c>
      <c r="F43" t="s">
        <v>7</v>
      </c>
      <c r="G43">
        <f>'Lewis Conf. Index'!M25</f>
        <v>21</v>
      </c>
      <c r="H43" t="s">
        <v>8</v>
      </c>
      <c r="I43">
        <v>20</v>
      </c>
      <c r="J43" t="s">
        <v>47</v>
      </c>
      <c r="K43">
        <f>3+3+3+3</f>
        <v>12</v>
      </c>
      <c r="N43">
        <f t="shared" si="9"/>
        <v>53</v>
      </c>
      <c r="O43">
        <f>O42+N43</f>
        <v>105</v>
      </c>
      <c r="P43">
        <f t="shared" ref="P43:P48" si="10">ROUNDDOWN(O43/35,0)</f>
        <v>3</v>
      </c>
    </row>
    <row r="44" spans="5:16" x14ac:dyDescent="0.25">
      <c r="E44" t="s">
        <v>11</v>
      </c>
      <c r="F44" t="s">
        <v>4</v>
      </c>
      <c r="G44">
        <f>'Lewis Conf. Index'!M26</f>
        <v>15</v>
      </c>
      <c r="H44" t="s">
        <v>8</v>
      </c>
      <c r="I44">
        <v>20</v>
      </c>
      <c r="J44" t="s">
        <v>47</v>
      </c>
      <c r="K44">
        <f>3+3+3+3</f>
        <v>12</v>
      </c>
      <c r="N44">
        <f t="shared" si="9"/>
        <v>47</v>
      </c>
      <c r="O44">
        <f t="shared" ref="O44:O48" si="11">O43+N44</f>
        <v>152</v>
      </c>
      <c r="P44">
        <f t="shared" si="10"/>
        <v>4</v>
      </c>
    </row>
    <row r="45" spans="5:16" x14ac:dyDescent="0.25">
      <c r="E45" t="s">
        <v>12</v>
      </c>
      <c r="F45" t="s">
        <v>7</v>
      </c>
      <c r="G45">
        <f>'Lewis Conf. Index'!M27</f>
        <v>21</v>
      </c>
      <c r="H45" t="s">
        <v>7</v>
      </c>
      <c r="I45">
        <v>10</v>
      </c>
      <c r="J45" t="s">
        <v>46</v>
      </c>
      <c r="K45">
        <f>12+3+3+3+3</f>
        <v>24</v>
      </c>
      <c r="N45">
        <f t="shared" si="9"/>
        <v>55</v>
      </c>
      <c r="O45">
        <f t="shared" si="11"/>
        <v>207</v>
      </c>
      <c r="P45">
        <f t="shared" si="10"/>
        <v>5</v>
      </c>
    </row>
    <row r="46" spans="5:16" x14ac:dyDescent="0.25">
      <c r="E46" t="s">
        <v>21</v>
      </c>
      <c r="F46" t="s">
        <v>4</v>
      </c>
      <c r="G46">
        <f>'Lewis Conf. Index'!M28</f>
        <v>15</v>
      </c>
      <c r="H46" t="s">
        <v>8</v>
      </c>
      <c r="I46">
        <v>20</v>
      </c>
      <c r="J46" t="s">
        <v>47</v>
      </c>
      <c r="K46">
        <f>3+3+3+3</f>
        <v>12</v>
      </c>
      <c r="N46">
        <f t="shared" si="9"/>
        <v>47</v>
      </c>
      <c r="O46">
        <f t="shared" si="11"/>
        <v>254</v>
      </c>
      <c r="P46">
        <f t="shared" si="10"/>
        <v>7</v>
      </c>
    </row>
    <row r="47" spans="5:16" x14ac:dyDescent="0.25">
      <c r="E47" t="s">
        <v>14</v>
      </c>
      <c r="F47" t="s">
        <v>7</v>
      </c>
      <c r="G47">
        <f>'Lewis Conf. Index'!M29</f>
        <v>21</v>
      </c>
      <c r="H47" t="s">
        <v>8</v>
      </c>
      <c r="I47">
        <v>20</v>
      </c>
      <c r="J47" t="s">
        <v>47</v>
      </c>
      <c r="K47">
        <f>3+3+3+3</f>
        <v>12</v>
      </c>
      <c r="N47">
        <f t="shared" si="9"/>
        <v>53</v>
      </c>
      <c r="O47">
        <f t="shared" si="11"/>
        <v>307</v>
      </c>
      <c r="P47">
        <f t="shared" si="10"/>
        <v>8</v>
      </c>
    </row>
    <row r="48" spans="5:16" x14ac:dyDescent="0.25">
      <c r="E48" t="s">
        <v>15</v>
      </c>
      <c r="F48" t="s">
        <v>4</v>
      </c>
      <c r="G48">
        <f>'Lewis Conf. Index'!M30</f>
        <v>15</v>
      </c>
      <c r="H48" t="s">
        <v>16</v>
      </c>
      <c r="I48">
        <v>10</v>
      </c>
      <c r="J48" t="s">
        <v>46</v>
      </c>
      <c r="K48">
        <f>12+3+3+3+3</f>
        <v>24</v>
      </c>
      <c r="N48">
        <f t="shared" si="9"/>
        <v>49</v>
      </c>
      <c r="O48">
        <f t="shared" si="11"/>
        <v>356</v>
      </c>
      <c r="P48">
        <f t="shared" si="10"/>
        <v>10</v>
      </c>
    </row>
    <row r="49" spans="7:11" x14ac:dyDescent="0.25">
      <c r="G49">
        <f>SUM(G42:G48)</f>
        <v>114</v>
      </c>
      <c r="I49">
        <f>SUM(I42:I48)</f>
        <v>112</v>
      </c>
      <c r="K49">
        <f>SUM(K42:K48)</f>
        <v>130</v>
      </c>
    </row>
  </sheetData>
  <mergeCells count="1">
    <mergeCell ref="E7:N7"/>
  </mergeCells>
  <pageMargins left="0.7" right="0.7" top="0.75" bottom="0.75" header="0.3" footer="0.3"/>
  <ignoredErrors>
    <ignoredError sqref="K45 K3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DF9A-7538-49D8-AC0F-52FCC34820DD}">
  <dimension ref="A1:AB49"/>
  <sheetViews>
    <sheetView topLeftCell="A22" zoomScale="85" zoomScaleNormal="85" workbookViewId="0">
      <selection activeCell="L40" sqref="L40"/>
    </sheetView>
  </sheetViews>
  <sheetFormatPr defaultRowHeight="15" x14ac:dyDescent="0.25"/>
  <cols>
    <col min="4" max="4" width="13.85546875" customWidth="1"/>
    <col min="6" max="6" width="9.85546875" bestFit="1" customWidth="1"/>
    <col min="7" max="9" width="11" customWidth="1"/>
    <col min="10" max="10" width="15.85546875" bestFit="1" customWidth="1"/>
    <col min="11" max="11" width="11.7109375" bestFit="1" customWidth="1"/>
    <col min="12" max="12" width="13.85546875" bestFit="1" customWidth="1"/>
    <col min="13" max="15" width="11" customWidth="1"/>
    <col min="18" max="18" width="15.140625" customWidth="1"/>
    <col min="19" max="20" width="11" customWidth="1"/>
    <col min="21" max="21" width="10.85546875" bestFit="1" customWidth="1"/>
    <col min="22" max="22" width="16.7109375" bestFit="1" customWidth="1"/>
    <col min="23" max="23" width="12.42578125" bestFit="1" customWidth="1"/>
    <col min="24" max="24" width="13.85546875" bestFit="1" customWidth="1"/>
    <col min="25" max="25" width="12.85546875" bestFit="1" customWidth="1"/>
    <col min="26" max="27" width="11" customWidth="1"/>
  </cols>
  <sheetData>
    <row r="1" spans="1:27" x14ac:dyDescent="0.25">
      <c r="A1" t="s">
        <v>31</v>
      </c>
      <c r="C1" s="6" t="s">
        <v>63</v>
      </c>
      <c r="E1" t="s">
        <v>67</v>
      </c>
      <c r="R1" t="s">
        <v>74</v>
      </c>
    </row>
    <row r="2" spans="1:27" x14ac:dyDescent="0.25">
      <c r="E2" t="s">
        <v>68</v>
      </c>
    </row>
    <row r="3" spans="1:27" x14ac:dyDescent="0.25">
      <c r="B3" t="s">
        <v>22</v>
      </c>
      <c r="C3" t="s">
        <v>1</v>
      </c>
      <c r="E3" t="s">
        <v>1</v>
      </c>
      <c r="Q3" t="s">
        <v>1</v>
      </c>
      <c r="R3" t="s">
        <v>73</v>
      </c>
      <c r="S3" s="6">
        <v>3</v>
      </c>
    </row>
    <row r="4" spans="1:27" x14ac:dyDescent="0.25">
      <c r="A4" t="s">
        <v>2</v>
      </c>
      <c r="B4">
        <v>5</v>
      </c>
      <c r="C4" t="s">
        <v>16</v>
      </c>
      <c r="E4" t="s">
        <v>23</v>
      </c>
      <c r="F4" t="s">
        <v>10</v>
      </c>
      <c r="G4" t="s">
        <v>13</v>
      </c>
      <c r="H4" t="s">
        <v>24</v>
      </c>
      <c r="I4" t="s">
        <v>9</v>
      </c>
      <c r="J4" t="s">
        <v>25</v>
      </c>
      <c r="K4" t="s">
        <v>22</v>
      </c>
      <c r="L4" t="s">
        <v>26</v>
      </c>
      <c r="M4" t="s">
        <v>27</v>
      </c>
      <c r="N4" t="s">
        <v>29</v>
      </c>
      <c r="O4" t="s">
        <v>18</v>
      </c>
      <c r="Q4" t="s">
        <v>23</v>
      </c>
      <c r="R4" t="s">
        <v>10</v>
      </c>
      <c r="S4" t="s">
        <v>13</v>
      </c>
      <c r="T4" t="s">
        <v>24</v>
      </c>
      <c r="U4" t="s">
        <v>9</v>
      </c>
      <c r="V4" t="s">
        <v>25</v>
      </c>
      <c r="W4" t="s">
        <v>22</v>
      </c>
      <c r="X4" t="s">
        <v>26</v>
      </c>
      <c r="Y4" t="s">
        <v>27</v>
      </c>
      <c r="Z4" t="s">
        <v>29</v>
      </c>
      <c r="AA4" t="s">
        <v>18</v>
      </c>
    </row>
    <row r="5" spans="1:27" x14ac:dyDescent="0.25">
      <c r="A5" t="s">
        <v>3</v>
      </c>
      <c r="B5">
        <v>6</v>
      </c>
      <c r="C5" t="s">
        <v>8</v>
      </c>
      <c r="E5">
        <v>2</v>
      </c>
      <c r="F5">
        <v>5</v>
      </c>
      <c r="G5" t="s">
        <v>16</v>
      </c>
      <c r="H5">
        <v>3</v>
      </c>
      <c r="I5">
        <v>2</v>
      </c>
      <c r="J5">
        <f>SUM(F5-H5+I5)</f>
        <v>4</v>
      </c>
      <c r="K5">
        <v>3</v>
      </c>
      <c r="L5">
        <f>K5*2</f>
        <v>6</v>
      </c>
      <c r="M5">
        <v>6</v>
      </c>
      <c r="N5">
        <f>M5+L5</f>
        <v>12</v>
      </c>
      <c r="O5">
        <f>ROUNDDOWN(N5/35,0)</f>
        <v>0</v>
      </c>
      <c r="Q5">
        <v>2</v>
      </c>
      <c r="R5">
        <v>5</v>
      </c>
      <c r="S5" t="s">
        <v>16</v>
      </c>
      <c r="T5">
        <v>3</v>
      </c>
      <c r="U5">
        <v>2</v>
      </c>
      <c r="V5">
        <f>SUM(R5-T5+U5)</f>
        <v>4</v>
      </c>
      <c r="W5">
        <f>S3*3</f>
        <v>9</v>
      </c>
      <c r="X5">
        <f>W5*2</f>
        <v>18</v>
      </c>
      <c r="Y5">
        <v>6</v>
      </c>
      <c r="Z5">
        <f>Y5+X5</f>
        <v>24</v>
      </c>
      <c r="AA5">
        <f>ROUNDDOWN(Z5/35,0)</f>
        <v>0</v>
      </c>
    </row>
    <row r="6" spans="1:27" x14ac:dyDescent="0.25">
      <c r="A6" t="s">
        <v>11</v>
      </c>
      <c r="B6">
        <v>5</v>
      </c>
      <c r="C6" t="s">
        <v>4</v>
      </c>
      <c r="E6">
        <v>2</v>
      </c>
      <c r="F6">
        <f>IF(J5+E6&gt;6,6,J5+E6)</f>
        <v>6</v>
      </c>
      <c r="G6" t="s">
        <v>8</v>
      </c>
      <c r="H6">
        <v>4</v>
      </c>
      <c r="I6">
        <v>0</v>
      </c>
      <c r="J6">
        <f>SUM(F6-H6+I6)</f>
        <v>2</v>
      </c>
      <c r="K6">
        <v>6</v>
      </c>
      <c r="L6">
        <f t="shared" ref="L6:L11" si="0">K6*2</f>
        <v>12</v>
      </c>
      <c r="M6">
        <v>6</v>
      </c>
      <c r="N6">
        <f t="shared" ref="N6:N10" si="1">N5+M6+L6</f>
        <v>30</v>
      </c>
      <c r="O6">
        <f t="shared" ref="O6:O11" si="2">ROUNDDOWN(N6/35,0)</f>
        <v>0</v>
      </c>
      <c r="Q6">
        <v>2</v>
      </c>
      <c r="R6">
        <f>IF(V5+Q6&gt;6,6,V5+Q6)</f>
        <v>6</v>
      </c>
      <c r="S6" t="s">
        <v>8</v>
      </c>
      <c r="T6">
        <v>4</v>
      </c>
      <c r="U6">
        <v>0</v>
      </c>
      <c r="V6">
        <f>SUM(R6-T6+U6)</f>
        <v>2</v>
      </c>
      <c r="W6">
        <f>4+S3*2</f>
        <v>10</v>
      </c>
      <c r="X6">
        <f t="shared" ref="X6:X11" si="3">W6*2</f>
        <v>20</v>
      </c>
      <c r="Y6">
        <v>6</v>
      </c>
      <c r="Z6">
        <f t="shared" ref="Z6:Z11" si="4">Z5+Y6+X6</f>
        <v>50</v>
      </c>
      <c r="AA6">
        <f t="shared" ref="AA6:AA11" si="5">ROUNDDOWN(Z6/35,0)</f>
        <v>1</v>
      </c>
    </row>
    <row r="7" spans="1:27" x14ac:dyDescent="0.25">
      <c r="A7" t="s">
        <v>12</v>
      </c>
      <c r="B7">
        <v>2</v>
      </c>
      <c r="C7" t="s">
        <v>7</v>
      </c>
      <c r="E7">
        <v>2</v>
      </c>
      <c r="F7">
        <f t="shared" ref="F7:F11" si="6">IF(J6+E7&gt;6,6,J6+E7)</f>
        <v>4</v>
      </c>
      <c r="G7" t="s">
        <v>4</v>
      </c>
      <c r="H7">
        <v>2</v>
      </c>
      <c r="I7">
        <v>0</v>
      </c>
      <c r="J7">
        <f t="shared" ref="J7:J11" si="7">SUM(F7-H7+I7)</f>
        <v>2</v>
      </c>
      <c r="K7">
        <v>5</v>
      </c>
      <c r="L7">
        <f t="shared" si="0"/>
        <v>10</v>
      </c>
      <c r="M7">
        <v>12</v>
      </c>
      <c r="N7">
        <f t="shared" si="1"/>
        <v>52</v>
      </c>
      <c r="O7">
        <f t="shared" si="2"/>
        <v>1</v>
      </c>
      <c r="Q7">
        <v>2</v>
      </c>
      <c r="R7">
        <f t="shared" ref="R7:R11" si="8">IF(V6+Q7&gt;6,6,V6+Q7)</f>
        <v>4</v>
      </c>
      <c r="S7" t="s">
        <v>4</v>
      </c>
      <c r="T7">
        <v>2</v>
      </c>
      <c r="U7">
        <v>0</v>
      </c>
      <c r="V7">
        <f t="shared" ref="V7:V11" si="9">SUM(R7-T7+U7)</f>
        <v>2</v>
      </c>
      <c r="W7">
        <f>3+S3*2</f>
        <v>9</v>
      </c>
      <c r="X7">
        <f t="shared" si="3"/>
        <v>18</v>
      </c>
      <c r="Y7">
        <v>12</v>
      </c>
      <c r="Z7">
        <f t="shared" si="4"/>
        <v>80</v>
      </c>
      <c r="AA7">
        <f t="shared" si="5"/>
        <v>2</v>
      </c>
    </row>
    <row r="8" spans="1:27" x14ac:dyDescent="0.25">
      <c r="A8" t="s">
        <v>21</v>
      </c>
      <c r="B8">
        <v>6</v>
      </c>
      <c r="C8" t="s">
        <v>8</v>
      </c>
      <c r="E8">
        <v>2</v>
      </c>
      <c r="F8">
        <f t="shared" si="6"/>
        <v>4</v>
      </c>
      <c r="G8" t="s">
        <v>16</v>
      </c>
      <c r="H8">
        <v>3</v>
      </c>
      <c r="I8">
        <v>2</v>
      </c>
      <c r="J8">
        <f t="shared" si="7"/>
        <v>3</v>
      </c>
      <c r="K8">
        <v>2</v>
      </c>
      <c r="L8">
        <f t="shared" si="0"/>
        <v>4</v>
      </c>
      <c r="M8">
        <v>6</v>
      </c>
      <c r="N8">
        <f t="shared" si="1"/>
        <v>62</v>
      </c>
      <c r="O8">
        <f t="shared" si="2"/>
        <v>1</v>
      </c>
      <c r="Q8">
        <v>2</v>
      </c>
      <c r="R8">
        <f t="shared" si="8"/>
        <v>4</v>
      </c>
      <c r="S8" t="s">
        <v>16</v>
      </c>
      <c r="T8">
        <v>3</v>
      </c>
      <c r="U8">
        <v>2</v>
      </c>
      <c r="V8">
        <f t="shared" si="9"/>
        <v>3</v>
      </c>
      <c r="W8">
        <f>S3*2</f>
        <v>6</v>
      </c>
      <c r="X8">
        <f t="shared" si="3"/>
        <v>12</v>
      </c>
      <c r="Y8">
        <v>6</v>
      </c>
      <c r="Z8">
        <f t="shared" si="4"/>
        <v>98</v>
      </c>
      <c r="AA8">
        <f t="shared" si="5"/>
        <v>2</v>
      </c>
    </row>
    <row r="9" spans="1:27" x14ac:dyDescent="0.25">
      <c r="A9" t="s">
        <v>14</v>
      </c>
      <c r="B9">
        <v>5</v>
      </c>
      <c r="C9" t="s">
        <v>4</v>
      </c>
      <c r="E9">
        <v>2</v>
      </c>
      <c r="F9">
        <f t="shared" si="6"/>
        <v>5</v>
      </c>
      <c r="G9" t="s">
        <v>8</v>
      </c>
      <c r="H9">
        <v>5</v>
      </c>
      <c r="I9">
        <v>0</v>
      </c>
      <c r="J9">
        <f t="shared" si="7"/>
        <v>0</v>
      </c>
      <c r="K9">
        <v>6</v>
      </c>
      <c r="L9">
        <f t="shared" si="0"/>
        <v>12</v>
      </c>
      <c r="M9">
        <v>6</v>
      </c>
      <c r="N9">
        <f t="shared" si="1"/>
        <v>80</v>
      </c>
      <c r="O9">
        <f t="shared" si="2"/>
        <v>2</v>
      </c>
      <c r="Q9">
        <v>2</v>
      </c>
      <c r="R9">
        <f t="shared" si="8"/>
        <v>5</v>
      </c>
      <c r="S9" t="s">
        <v>8</v>
      </c>
      <c r="T9">
        <v>5</v>
      </c>
      <c r="U9">
        <v>0</v>
      </c>
      <c r="V9">
        <f t="shared" si="9"/>
        <v>0</v>
      </c>
      <c r="W9">
        <f>4+S3*2</f>
        <v>10</v>
      </c>
      <c r="X9">
        <f t="shared" si="3"/>
        <v>20</v>
      </c>
      <c r="Y9">
        <v>6</v>
      </c>
      <c r="Z9">
        <f t="shared" si="4"/>
        <v>124</v>
      </c>
      <c r="AA9">
        <f t="shared" si="5"/>
        <v>3</v>
      </c>
    </row>
    <row r="10" spans="1:27" x14ac:dyDescent="0.25">
      <c r="A10" t="s">
        <v>15</v>
      </c>
      <c r="B10">
        <v>2</v>
      </c>
      <c r="C10" t="s">
        <v>7</v>
      </c>
      <c r="E10">
        <v>2</v>
      </c>
      <c r="F10">
        <f t="shared" si="6"/>
        <v>2</v>
      </c>
      <c r="G10" t="s">
        <v>4</v>
      </c>
      <c r="H10">
        <v>2</v>
      </c>
      <c r="I10">
        <v>0</v>
      </c>
      <c r="J10">
        <f t="shared" si="7"/>
        <v>0</v>
      </c>
      <c r="K10">
        <v>5</v>
      </c>
      <c r="L10">
        <f t="shared" si="0"/>
        <v>10</v>
      </c>
      <c r="M10">
        <v>12</v>
      </c>
      <c r="N10">
        <f t="shared" si="1"/>
        <v>102</v>
      </c>
      <c r="O10">
        <f t="shared" si="2"/>
        <v>2</v>
      </c>
      <c r="Q10">
        <v>2</v>
      </c>
      <c r="R10">
        <f t="shared" si="8"/>
        <v>2</v>
      </c>
      <c r="S10" t="s">
        <v>4</v>
      </c>
      <c r="T10">
        <v>2</v>
      </c>
      <c r="U10">
        <v>0</v>
      </c>
      <c r="V10">
        <f t="shared" si="9"/>
        <v>0</v>
      </c>
      <c r="W10">
        <f>3+S3*2</f>
        <v>9</v>
      </c>
      <c r="X10">
        <f t="shared" si="3"/>
        <v>18</v>
      </c>
      <c r="Y10">
        <v>12</v>
      </c>
      <c r="Z10">
        <f t="shared" si="4"/>
        <v>154</v>
      </c>
      <c r="AA10">
        <f t="shared" si="5"/>
        <v>4</v>
      </c>
    </row>
    <row r="11" spans="1:27" x14ac:dyDescent="0.25">
      <c r="E11">
        <v>2</v>
      </c>
      <c r="F11">
        <f t="shared" si="6"/>
        <v>2</v>
      </c>
      <c r="G11" t="s">
        <v>7</v>
      </c>
      <c r="H11">
        <v>2</v>
      </c>
      <c r="I11">
        <v>2</v>
      </c>
      <c r="J11">
        <f t="shared" si="7"/>
        <v>2</v>
      </c>
      <c r="K11">
        <v>2</v>
      </c>
      <c r="L11">
        <f t="shared" si="0"/>
        <v>4</v>
      </c>
      <c r="M11">
        <v>6</v>
      </c>
      <c r="N11">
        <f>N10+M11+L11</f>
        <v>112</v>
      </c>
      <c r="O11">
        <f t="shared" si="2"/>
        <v>3</v>
      </c>
      <c r="Q11">
        <v>2</v>
      </c>
      <c r="R11">
        <f t="shared" si="8"/>
        <v>2</v>
      </c>
      <c r="S11" t="s">
        <v>7</v>
      </c>
      <c r="T11">
        <v>2</v>
      </c>
      <c r="U11">
        <v>2</v>
      </c>
      <c r="V11">
        <f t="shared" si="9"/>
        <v>2</v>
      </c>
      <c r="W11">
        <f>S3*2</f>
        <v>6</v>
      </c>
      <c r="X11">
        <f t="shared" si="3"/>
        <v>12</v>
      </c>
      <c r="Y11">
        <v>6</v>
      </c>
      <c r="Z11">
        <f t="shared" si="4"/>
        <v>172</v>
      </c>
      <c r="AA11">
        <f t="shared" si="5"/>
        <v>4</v>
      </c>
    </row>
    <row r="13" spans="1:27" x14ac:dyDescent="0.25">
      <c r="E13" t="s">
        <v>17</v>
      </c>
      <c r="Q13" t="s">
        <v>17</v>
      </c>
    </row>
    <row r="14" spans="1:27" x14ac:dyDescent="0.25">
      <c r="E14" t="s">
        <v>23</v>
      </c>
      <c r="F14" t="s">
        <v>10</v>
      </c>
      <c r="G14" t="s">
        <v>13</v>
      </c>
      <c r="H14" t="s">
        <v>24</v>
      </c>
      <c r="I14" t="s">
        <v>9</v>
      </c>
      <c r="J14" t="s">
        <v>25</v>
      </c>
      <c r="K14" t="s">
        <v>22</v>
      </c>
      <c r="L14" t="s">
        <v>26</v>
      </c>
      <c r="M14" t="s">
        <v>27</v>
      </c>
      <c r="N14" t="s">
        <v>29</v>
      </c>
      <c r="O14" t="s">
        <v>18</v>
      </c>
      <c r="Q14" t="s">
        <v>23</v>
      </c>
      <c r="R14" t="s">
        <v>10</v>
      </c>
      <c r="S14" t="s">
        <v>13</v>
      </c>
      <c r="T14" t="s">
        <v>24</v>
      </c>
      <c r="U14" t="s">
        <v>9</v>
      </c>
      <c r="V14" t="s">
        <v>25</v>
      </c>
      <c r="W14" t="s">
        <v>22</v>
      </c>
      <c r="X14" t="s">
        <v>26</v>
      </c>
      <c r="Y14" t="s">
        <v>27</v>
      </c>
      <c r="Z14" t="s">
        <v>29</v>
      </c>
      <c r="AA14" t="s">
        <v>18</v>
      </c>
    </row>
    <row r="15" spans="1:27" x14ac:dyDescent="0.25">
      <c r="E15">
        <v>2</v>
      </c>
      <c r="F15">
        <v>5</v>
      </c>
      <c r="G15" t="s">
        <v>16</v>
      </c>
      <c r="H15">
        <v>2</v>
      </c>
      <c r="I15">
        <v>2</v>
      </c>
      <c r="J15">
        <f>SUM(F15-H15+I15)</f>
        <v>5</v>
      </c>
      <c r="K15">
        <v>3</v>
      </c>
      <c r="L15">
        <f>K15*2</f>
        <v>6</v>
      </c>
      <c r="M15">
        <v>6</v>
      </c>
      <c r="N15">
        <f>M15+L15</f>
        <v>12</v>
      </c>
      <c r="O15">
        <f>ROUNDDOWN(N15/35,0)</f>
        <v>0</v>
      </c>
      <c r="Q15">
        <v>2</v>
      </c>
      <c r="R15">
        <v>5</v>
      </c>
      <c r="S15" t="s">
        <v>16</v>
      </c>
      <c r="T15">
        <v>2</v>
      </c>
      <c r="U15">
        <v>2</v>
      </c>
      <c r="V15">
        <f>SUM(R15-T15+U15)</f>
        <v>5</v>
      </c>
      <c r="W15">
        <f>S3*3</f>
        <v>9</v>
      </c>
      <c r="X15">
        <f>W15*2</f>
        <v>18</v>
      </c>
      <c r="Y15">
        <v>6</v>
      </c>
      <c r="Z15">
        <f>Y15+X15</f>
        <v>24</v>
      </c>
      <c r="AA15">
        <f>ROUNDDOWN(Z15/35,0)</f>
        <v>0</v>
      </c>
    </row>
    <row r="16" spans="1:27" x14ac:dyDescent="0.25">
      <c r="E16">
        <v>2</v>
      </c>
      <c r="F16">
        <f>IF(J15+E16&gt;6,J15+E16-1,J15+E16)</f>
        <v>6</v>
      </c>
      <c r="G16" t="s">
        <v>8</v>
      </c>
      <c r="H16">
        <v>4</v>
      </c>
      <c r="I16">
        <v>0</v>
      </c>
      <c r="J16">
        <f>SUM(F16-H16+I16)</f>
        <v>2</v>
      </c>
      <c r="K16">
        <v>6</v>
      </c>
      <c r="L16">
        <f>K16*2</f>
        <v>12</v>
      </c>
      <c r="M16">
        <v>6</v>
      </c>
      <c r="N16">
        <f t="shared" ref="N16:N21" si="10">N15+M16+L16</f>
        <v>30</v>
      </c>
      <c r="O16">
        <f t="shared" ref="O16:O21" si="11">ROUNDDOWN(N16/35,0)</f>
        <v>0</v>
      </c>
      <c r="Q16">
        <v>2</v>
      </c>
      <c r="R16">
        <f>IF(V15+Q16&gt;6,V15+Q16-1,V15+Q16)</f>
        <v>6</v>
      </c>
      <c r="S16" t="s">
        <v>8</v>
      </c>
      <c r="T16">
        <v>4</v>
      </c>
      <c r="U16">
        <v>0</v>
      </c>
      <c r="V16">
        <f>SUM(R16-T16+U16)</f>
        <v>2</v>
      </c>
      <c r="W16">
        <f>4+S3*2</f>
        <v>10</v>
      </c>
      <c r="X16">
        <f t="shared" ref="X16:X21" si="12">W16*2</f>
        <v>20</v>
      </c>
      <c r="Y16">
        <v>6</v>
      </c>
      <c r="Z16">
        <f t="shared" ref="Z16:Z21" si="13">Z15+Y16+X16</f>
        <v>50</v>
      </c>
      <c r="AA16">
        <f t="shared" ref="AA16:AA21" si="14">ROUNDDOWN(Z16/35,0)</f>
        <v>1</v>
      </c>
    </row>
    <row r="17" spans="5:27" x14ac:dyDescent="0.25">
      <c r="E17">
        <v>2</v>
      </c>
      <c r="F17">
        <f t="shared" ref="F17:F21" si="15">IF(J16+E17&gt;6,J16+E17-1,J16+E17)</f>
        <v>4</v>
      </c>
      <c r="G17" t="s">
        <v>8</v>
      </c>
      <c r="H17">
        <v>4</v>
      </c>
      <c r="I17">
        <v>0</v>
      </c>
      <c r="J17">
        <f t="shared" ref="J17:J21" si="16">SUM(F17-H17+I17)</f>
        <v>0</v>
      </c>
      <c r="K17">
        <v>6</v>
      </c>
      <c r="L17">
        <f t="shared" ref="L17:L21" si="17">K17*2</f>
        <v>12</v>
      </c>
      <c r="M17">
        <v>12</v>
      </c>
      <c r="N17">
        <f t="shared" si="10"/>
        <v>54</v>
      </c>
      <c r="O17">
        <f t="shared" si="11"/>
        <v>1</v>
      </c>
      <c r="Q17">
        <v>2</v>
      </c>
      <c r="R17">
        <f t="shared" ref="R17:R21" si="18">IF(V16+Q17&gt;6,V16+Q17-1,V16+Q17)</f>
        <v>4</v>
      </c>
      <c r="S17" t="s">
        <v>8</v>
      </c>
      <c r="T17">
        <v>4</v>
      </c>
      <c r="U17">
        <v>0</v>
      </c>
      <c r="V17">
        <f t="shared" ref="V17:V21" si="19">SUM(R17-T17+U17)</f>
        <v>0</v>
      </c>
      <c r="W17">
        <f>4+S3*2</f>
        <v>10</v>
      </c>
      <c r="X17">
        <f t="shared" si="12"/>
        <v>20</v>
      </c>
      <c r="Y17">
        <v>12</v>
      </c>
      <c r="Z17">
        <f t="shared" si="13"/>
        <v>82</v>
      </c>
      <c r="AA17">
        <f t="shared" si="14"/>
        <v>2</v>
      </c>
    </row>
    <row r="18" spans="5:27" x14ac:dyDescent="0.25">
      <c r="E18">
        <v>2</v>
      </c>
      <c r="F18">
        <f t="shared" si="15"/>
        <v>2</v>
      </c>
      <c r="G18" t="s">
        <v>7</v>
      </c>
      <c r="H18">
        <v>0</v>
      </c>
      <c r="I18">
        <v>2</v>
      </c>
      <c r="J18">
        <f t="shared" si="16"/>
        <v>4</v>
      </c>
      <c r="K18">
        <v>2</v>
      </c>
      <c r="L18">
        <f t="shared" si="17"/>
        <v>4</v>
      </c>
      <c r="M18">
        <v>6</v>
      </c>
      <c r="N18">
        <f t="shared" si="10"/>
        <v>64</v>
      </c>
      <c r="O18">
        <f t="shared" si="11"/>
        <v>1</v>
      </c>
      <c r="Q18">
        <v>2</v>
      </c>
      <c r="R18">
        <f t="shared" si="18"/>
        <v>2</v>
      </c>
      <c r="S18" t="s">
        <v>7</v>
      </c>
      <c r="T18">
        <v>0</v>
      </c>
      <c r="U18">
        <v>2</v>
      </c>
      <c r="V18">
        <f t="shared" si="19"/>
        <v>4</v>
      </c>
      <c r="W18">
        <f>S3*2</f>
        <v>6</v>
      </c>
      <c r="X18">
        <f t="shared" si="12"/>
        <v>12</v>
      </c>
      <c r="Y18">
        <v>6</v>
      </c>
      <c r="Z18">
        <f t="shared" si="13"/>
        <v>100</v>
      </c>
      <c r="AA18">
        <f t="shared" si="14"/>
        <v>2</v>
      </c>
    </row>
    <row r="19" spans="5:27" x14ac:dyDescent="0.25">
      <c r="E19">
        <v>2</v>
      </c>
      <c r="F19">
        <f>IF(J18+E19&gt;6,J18+E19-1,J18+E19)</f>
        <v>6</v>
      </c>
      <c r="G19" t="s">
        <v>8</v>
      </c>
      <c r="H19">
        <v>4</v>
      </c>
      <c r="I19">
        <v>0</v>
      </c>
      <c r="J19">
        <f t="shared" si="16"/>
        <v>2</v>
      </c>
      <c r="K19">
        <v>6</v>
      </c>
      <c r="L19">
        <f t="shared" si="17"/>
        <v>12</v>
      </c>
      <c r="M19">
        <v>6</v>
      </c>
      <c r="N19">
        <f t="shared" si="10"/>
        <v>82</v>
      </c>
      <c r="O19">
        <f t="shared" si="11"/>
        <v>2</v>
      </c>
      <c r="Q19">
        <v>2</v>
      </c>
      <c r="R19">
        <f>IF(V18+Q19&gt;6,V18+Q19-1,V18+Q19)</f>
        <v>6</v>
      </c>
      <c r="S19" t="s">
        <v>8</v>
      </c>
      <c r="T19">
        <v>4</v>
      </c>
      <c r="U19">
        <v>0</v>
      </c>
      <c r="V19">
        <f t="shared" si="19"/>
        <v>2</v>
      </c>
      <c r="W19">
        <f>4+S3*2</f>
        <v>10</v>
      </c>
      <c r="X19">
        <f t="shared" si="12"/>
        <v>20</v>
      </c>
      <c r="Y19">
        <v>6</v>
      </c>
      <c r="Z19">
        <f t="shared" si="13"/>
        <v>126</v>
      </c>
      <c r="AA19">
        <f t="shared" si="14"/>
        <v>3</v>
      </c>
    </row>
    <row r="20" spans="5:27" x14ac:dyDescent="0.25">
      <c r="E20">
        <v>2</v>
      </c>
      <c r="F20">
        <f t="shared" si="15"/>
        <v>4</v>
      </c>
      <c r="G20" t="s">
        <v>8</v>
      </c>
      <c r="H20">
        <v>4</v>
      </c>
      <c r="I20">
        <v>0</v>
      </c>
      <c r="J20">
        <f t="shared" si="16"/>
        <v>0</v>
      </c>
      <c r="K20">
        <v>6</v>
      </c>
      <c r="L20">
        <f t="shared" si="17"/>
        <v>12</v>
      </c>
      <c r="M20">
        <v>12</v>
      </c>
      <c r="N20">
        <f t="shared" si="10"/>
        <v>106</v>
      </c>
      <c r="O20">
        <f t="shared" si="11"/>
        <v>3</v>
      </c>
      <c r="Q20">
        <v>2</v>
      </c>
      <c r="R20">
        <f t="shared" si="18"/>
        <v>4</v>
      </c>
      <c r="S20" t="s">
        <v>8</v>
      </c>
      <c r="T20">
        <v>4</v>
      </c>
      <c r="U20">
        <v>0</v>
      </c>
      <c r="V20">
        <f t="shared" si="19"/>
        <v>0</v>
      </c>
      <c r="W20">
        <f>4+S3*2</f>
        <v>10</v>
      </c>
      <c r="X20">
        <f t="shared" si="12"/>
        <v>20</v>
      </c>
      <c r="Y20">
        <v>12</v>
      </c>
      <c r="Z20">
        <f t="shared" si="13"/>
        <v>158</v>
      </c>
      <c r="AA20">
        <f t="shared" si="14"/>
        <v>4</v>
      </c>
    </row>
    <row r="21" spans="5:27" x14ac:dyDescent="0.25">
      <c r="E21">
        <v>2</v>
      </c>
      <c r="F21">
        <f t="shared" si="15"/>
        <v>2</v>
      </c>
      <c r="G21" t="s">
        <v>16</v>
      </c>
      <c r="H21">
        <v>2</v>
      </c>
      <c r="I21">
        <v>2</v>
      </c>
      <c r="J21">
        <f t="shared" si="16"/>
        <v>2</v>
      </c>
      <c r="K21">
        <v>2</v>
      </c>
      <c r="L21">
        <f t="shared" si="17"/>
        <v>4</v>
      </c>
      <c r="M21">
        <v>6</v>
      </c>
      <c r="N21">
        <f t="shared" si="10"/>
        <v>116</v>
      </c>
      <c r="O21">
        <f t="shared" si="11"/>
        <v>3</v>
      </c>
      <c r="Q21">
        <v>2</v>
      </c>
      <c r="R21">
        <f t="shared" si="18"/>
        <v>2</v>
      </c>
      <c r="S21" t="s">
        <v>16</v>
      </c>
      <c r="T21">
        <v>2</v>
      </c>
      <c r="U21">
        <v>2</v>
      </c>
      <c r="V21">
        <f t="shared" si="19"/>
        <v>2</v>
      </c>
      <c r="W21">
        <f>S3*2</f>
        <v>6</v>
      </c>
      <c r="X21">
        <f t="shared" si="12"/>
        <v>12</v>
      </c>
      <c r="Y21">
        <v>6</v>
      </c>
      <c r="Z21">
        <f t="shared" si="13"/>
        <v>176</v>
      </c>
      <c r="AA21">
        <f t="shared" si="14"/>
        <v>5</v>
      </c>
    </row>
    <row r="23" spans="5:27" x14ac:dyDescent="0.25">
      <c r="E23" t="s">
        <v>72</v>
      </c>
      <c r="Q23" t="s">
        <v>72</v>
      </c>
    </row>
    <row r="24" spans="5:27" x14ac:dyDescent="0.25">
      <c r="E24" t="s">
        <v>23</v>
      </c>
      <c r="F24" t="s">
        <v>10</v>
      </c>
      <c r="G24" t="s">
        <v>13</v>
      </c>
      <c r="H24" t="s">
        <v>24</v>
      </c>
      <c r="I24" t="s">
        <v>9</v>
      </c>
      <c r="J24" t="s">
        <v>25</v>
      </c>
      <c r="K24" t="s">
        <v>22</v>
      </c>
      <c r="L24" t="s">
        <v>26</v>
      </c>
      <c r="M24" t="s">
        <v>27</v>
      </c>
      <c r="N24" t="s">
        <v>29</v>
      </c>
      <c r="O24" t="s">
        <v>18</v>
      </c>
      <c r="Q24" t="s">
        <v>23</v>
      </c>
      <c r="R24" t="s">
        <v>10</v>
      </c>
      <c r="S24" t="s">
        <v>13</v>
      </c>
      <c r="T24" t="s">
        <v>24</v>
      </c>
      <c r="U24" t="s">
        <v>9</v>
      </c>
      <c r="V24" t="s">
        <v>25</v>
      </c>
      <c r="W24" t="s">
        <v>22</v>
      </c>
      <c r="X24" t="s">
        <v>26</v>
      </c>
      <c r="Y24" t="s">
        <v>27</v>
      </c>
      <c r="Z24" t="s">
        <v>29</v>
      </c>
      <c r="AA24" t="s">
        <v>18</v>
      </c>
    </row>
    <row r="25" spans="5:27" x14ac:dyDescent="0.25">
      <c r="E25">
        <v>2</v>
      </c>
      <c r="F25">
        <v>5</v>
      </c>
      <c r="G25" t="s">
        <v>16</v>
      </c>
      <c r="H25">
        <v>2</v>
      </c>
      <c r="I25">
        <v>2</v>
      </c>
      <c r="J25">
        <f>SUM(F25-H25+I25)</f>
        <v>5</v>
      </c>
      <c r="K25">
        <v>3</v>
      </c>
      <c r="L25">
        <f>K25*2</f>
        <v>6</v>
      </c>
      <c r="M25">
        <v>6</v>
      </c>
      <c r="N25">
        <f>M25+L25</f>
        <v>12</v>
      </c>
      <c r="O25">
        <f>ROUNDDOWN(N25/35,0)</f>
        <v>0</v>
      </c>
      <c r="Q25">
        <v>2</v>
      </c>
      <c r="R25">
        <v>5</v>
      </c>
      <c r="S25" t="s">
        <v>16</v>
      </c>
      <c r="T25">
        <v>2</v>
      </c>
      <c r="U25">
        <v>2</v>
      </c>
      <c r="V25">
        <f>SUM(R25-T25+U25)</f>
        <v>5</v>
      </c>
      <c r="W25">
        <f>S3*3</f>
        <v>9</v>
      </c>
      <c r="X25">
        <f>W25*2</f>
        <v>18</v>
      </c>
      <c r="Y25">
        <v>6</v>
      </c>
      <c r="Z25">
        <f>Y25+X25</f>
        <v>24</v>
      </c>
      <c r="AA25">
        <f>ROUNDDOWN(Z25/35,0)</f>
        <v>0</v>
      </c>
    </row>
    <row r="26" spans="5:27" x14ac:dyDescent="0.25">
      <c r="E26">
        <v>2</v>
      </c>
      <c r="F26">
        <f>IF(J25+E26&gt;6,J25+E26-1,J25+E26)</f>
        <v>6</v>
      </c>
      <c r="G26" t="s">
        <v>8</v>
      </c>
      <c r="H26">
        <v>4</v>
      </c>
      <c r="I26">
        <v>0</v>
      </c>
      <c r="J26">
        <f>SUM(F26-H26+I26)</f>
        <v>2</v>
      </c>
      <c r="K26">
        <v>7</v>
      </c>
      <c r="L26">
        <f t="shared" ref="L26:L31" si="20">K26*2</f>
        <v>14</v>
      </c>
      <c r="M26">
        <v>6</v>
      </c>
      <c r="N26">
        <f t="shared" ref="N26:N31" si="21">N25+M26+L26</f>
        <v>32</v>
      </c>
      <c r="O26">
        <f t="shared" ref="O26:O31" si="22">ROUNDDOWN(N26/35,0)</f>
        <v>0</v>
      </c>
      <c r="Q26">
        <v>2</v>
      </c>
      <c r="R26">
        <f>IF(V25+Q26&gt;6,V25+Q26-1,V25+Q26)</f>
        <v>6</v>
      </c>
      <c r="S26" t="s">
        <v>8</v>
      </c>
      <c r="T26">
        <v>4</v>
      </c>
      <c r="U26">
        <v>0</v>
      </c>
      <c r="V26">
        <f>SUM(R26-T26+U26)</f>
        <v>2</v>
      </c>
      <c r="W26">
        <f>5+S3*2</f>
        <v>11</v>
      </c>
      <c r="X26">
        <f t="shared" ref="X26:X31" si="23">W26*2</f>
        <v>22</v>
      </c>
      <c r="Y26">
        <v>6</v>
      </c>
      <c r="Z26">
        <f t="shared" ref="Z26:Z31" si="24">Z25+Y26+X26</f>
        <v>52</v>
      </c>
      <c r="AA26">
        <f t="shared" ref="AA26:AA31" si="25">ROUNDDOWN(Z26/35,0)</f>
        <v>1</v>
      </c>
    </row>
    <row r="27" spans="5:27" x14ac:dyDescent="0.25">
      <c r="E27">
        <v>2</v>
      </c>
      <c r="F27">
        <f t="shared" ref="F27:F28" si="26">IF(J26+E27&gt;6,J26+E27-1,J26+E27)</f>
        <v>4</v>
      </c>
      <c r="G27" t="s">
        <v>8</v>
      </c>
      <c r="H27">
        <v>4</v>
      </c>
      <c r="I27">
        <v>0</v>
      </c>
      <c r="J27">
        <f t="shared" ref="J27:J31" si="27">SUM(F27-H27+I27)</f>
        <v>0</v>
      </c>
      <c r="K27">
        <v>7</v>
      </c>
      <c r="L27">
        <f t="shared" si="20"/>
        <v>14</v>
      </c>
      <c r="M27">
        <v>12</v>
      </c>
      <c r="N27">
        <f t="shared" si="21"/>
        <v>58</v>
      </c>
      <c r="O27">
        <f t="shared" si="22"/>
        <v>1</v>
      </c>
      <c r="Q27">
        <v>2</v>
      </c>
      <c r="R27">
        <f t="shared" ref="R27:R28" si="28">IF(V26+Q27&gt;6,V26+Q27-1,V26+Q27)</f>
        <v>4</v>
      </c>
      <c r="S27" t="s">
        <v>8</v>
      </c>
      <c r="T27">
        <v>4</v>
      </c>
      <c r="U27">
        <v>0</v>
      </c>
      <c r="V27">
        <f t="shared" ref="V27:V31" si="29">SUM(R27-T27+U27)</f>
        <v>0</v>
      </c>
      <c r="W27">
        <f>5+S3*2</f>
        <v>11</v>
      </c>
      <c r="X27">
        <f t="shared" si="23"/>
        <v>22</v>
      </c>
      <c r="Y27">
        <v>12</v>
      </c>
      <c r="Z27">
        <f t="shared" si="24"/>
        <v>86</v>
      </c>
      <c r="AA27">
        <f t="shared" si="25"/>
        <v>2</v>
      </c>
    </row>
    <row r="28" spans="5:27" x14ac:dyDescent="0.25">
      <c r="E28">
        <v>2</v>
      </c>
      <c r="F28">
        <f t="shared" si="26"/>
        <v>2</v>
      </c>
      <c r="G28" t="s">
        <v>7</v>
      </c>
      <c r="H28">
        <v>0</v>
      </c>
      <c r="I28">
        <v>2</v>
      </c>
      <c r="J28">
        <f t="shared" si="27"/>
        <v>4</v>
      </c>
      <c r="K28">
        <v>2</v>
      </c>
      <c r="L28">
        <f t="shared" si="20"/>
        <v>4</v>
      </c>
      <c r="M28">
        <v>6</v>
      </c>
      <c r="N28">
        <f t="shared" si="21"/>
        <v>68</v>
      </c>
      <c r="O28">
        <f t="shared" si="22"/>
        <v>1</v>
      </c>
      <c r="Q28">
        <v>2</v>
      </c>
      <c r="R28">
        <f t="shared" si="28"/>
        <v>2</v>
      </c>
      <c r="S28" t="s">
        <v>7</v>
      </c>
      <c r="T28">
        <v>0</v>
      </c>
      <c r="U28">
        <v>2</v>
      </c>
      <c r="V28">
        <f t="shared" si="29"/>
        <v>4</v>
      </c>
      <c r="W28">
        <f>S3*2</f>
        <v>6</v>
      </c>
      <c r="X28">
        <f t="shared" si="23"/>
        <v>12</v>
      </c>
      <c r="Y28">
        <v>6</v>
      </c>
      <c r="Z28">
        <f t="shared" si="24"/>
        <v>104</v>
      </c>
      <c r="AA28">
        <f t="shared" si="25"/>
        <v>2</v>
      </c>
    </row>
    <row r="29" spans="5:27" x14ac:dyDescent="0.25">
      <c r="E29">
        <v>2</v>
      </c>
      <c r="F29">
        <f>IF(J28+E29&gt;6,J28+E29-1,J28+E29)</f>
        <v>6</v>
      </c>
      <c r="G29" t="s">
        <v>8</v>
      </c>
      <c r="H29">
        <v>4</v>
      </c>
      <c r="I29">
        <v>0</v>
      </c>
      <c r="J29">
        <f t="shared" si="27"/>
        <v>2</v>
      </c>
      <c r="K29">
        <v>7</v>
      </c>
      <c r="L29">
        <f t="shared" si="20"/>
        <v>14</v>
      </c>
      <c r="M29">
        <v>6</v>
      </c>
      <c r="N29">
        <f t="shared" si="21"/>
        <v>88</v>
      </c>
      <c r="O29">
        <f t="shared" si="22"/>
        <v>2</v>
      </c>
      <c r="Q29">
        <v>2</v>
      </c>
      <c r="R29">
        <f>IF(V28+Q29&gt;6,V28+Q29-1,V28+Q29)</f>
        <v>6</v>
      </c>
      <c r="S29" t="s">
        <v>8</v>
      </c>
      <c r="T29">
        <v>4</v>
      </c>
      <c r="U29">
        <v>0</v>
      </c>
      <c r="V29">
        <f t="shared" si="29"/>
        <v>2</v>
      </c>
      <c r="W29">
        <f>5+S3*2</f>
        <v>11</v>
      </c>
      <c r="X29">
        <f t="shared" si="23"/>
        <v>22</v>
      </c>
      <c r="Y29">
        <v>6</v>
      </c>
      <c r="Z29">
        <f t="shared" si="24"/>
        <v>132</v>
      </c>
      <c r="AA29">
        <f t="shared" si="25"/>
        <v>3</v>
      </c>
    </row>
    <row r="30" spans="5:27" x14ac:dyDescent="0.25">
      <c r="E30">
        <v>2</v>
      </c>
      <c r="F30">
        <f t="shared" ref="F30:F31" si="30">IF(J29+E30&gt;6,J29+E30-1,J29+E30)</f>
        <v>4</v>
      </c>
      <c r="G30" t="s">
        <v>8</v>
      </c>
      <c r="H30">
        <v>4</v>
      </c>
      <c r="I30">
        <v>0</v>
      </c>
      <c r="J30">
        <f t="shared" si="27"/>
        <v>0</v>
      </c>
      <c r="K30">
        <v>7</v>
      </c>
      <c r="L30">
        <f t="shared" si="20"/>
        <v>14</v>
      </c>
      <c r="M30">
        <v>12</v>
      </c>
      <c r="N30">
        <f t="shared" si="21"/>
        <v>114</v>
      </c>
      <c r="O30">
        <f t="shared" si="22"/>
        <v>3</v>
      </c>
      <c r="Q30">
        <v>2</v>
      </c>
      <c r="R30">
        <f t="shared" ref="R30:R31" si="31">IF(V29+Q30&gt;6,V29+Q30-1,V29+Q30)</f>
        <v>4</v>
      </c>
      <c r="S30" t="s">
        <v>8</v>
      </c>
      <c r="T30">
        <v>4</v>
      </c>
      <c r="U30">
        <v>0</v>
      </c>
      <c r="V30">
        <f t="shared" si="29"/>
        <v>0</v>
      </c>
      <c r="W30">
        <f>5+S3*2</f>
        <v>11</v>
      </c>
      <c r="X30">
        <f t="shared" si="23"/>
        <v>22</v>
      </c>
      <c r="Y30">
        <v>12</v>
      </c>
      <c r="Z30">
        <f t="shared" si="24"/>
        <v>166</v>
      </c>
      <c r="AA30">
        <f t="shared" si="25"/>
        <v>4</v>
      </c>
    </row>
    <row r="31" spans="5:27" x14ac:dyDescent="0.25">
      <c r="E31">
        <v>2</v>
      </c>
      <c r="F31">
        <f t="shared" si="30"/>
        <v>2</v>
      </c>
      <c r="G31" t="s">
        <v>16</v>
      </c>
      <c r="H31">
        <v>2</v>
      </c>
      <c r="I31">
        <v>2</v>
      </c>
      <c r="J31">
        <f t="shared" si="27"/>
        <v>2</v>
      </c>
      <c r="K31">
        <v>2</v>
      </c>
      <c r="L31">
        <f t="shared" si="20"/>
        <v>4</v>
      </c>
      <c r="M31">
        <v>6</v>
      </c>
      <c r="N31">
        <f t="shared" si="21"/>
        <v>124</v>
      </c>
      <c r="O31">
        <f t="shared" si="22"/>
        <v>3</v>
      </c>
      <c r="Q31">
        <v>2</v>
      </c>
      <c r="R31">
        <f t="shared" si="31"/>
        <v>2</v>
      </c>
      <c r="S31" t="s">
        <v>16</v>
      </c>
      <c r="T31">
        <v>2</v>
      </c>
      <c r="U31">
        <v>2</v>
      </c>
      <c r="V31">
        <f t="shared" si="29"/>
        <v>2</v>
      </c>
      <c r="W31">
        <f>S3*2</f>
        <v>6</v>
      </c>
      <c r="X31">
        <f t="shared" si="23"/>
        <v>12</v>
      </c>
      <c r="Y31">
        <v>6</v>
      </c>
      <c r="Z31">
        <f t="shared" si="24"/>
        <v>184</v>
      </c>
      <c r="AA31">
        <f t="shared" si="25"/>
        <v>5</v>
      </c>
    </row>
    <row r="33" spans="5:28" x14ac:dyDescent="0.25">
      <c r="E33" t="s">
        <v>19</v>
      </c>
      <c r="Q33" t="s">
        <v>19</v>
      </c>
    </row>
    <row r="34" spans="5:28" x14ac:dyDescent="0.25">
      <c r="E34" t="s">
        <v>23</v>
      </c>
      <c r="F34" t="s">
        <v>10</v>
      </c>
      <c r="G34" t="s">
        <v>13</v>
      </c>
      <c r="H34" t="s">
        <v>24</v>
      </c>
      <c r="I34" t="s">
        <v>9</v>
      </c>
      <c r="J34" t="s">
        <v>25</v>
      </c>
      <c r="K34" t="s">
        <v>22</v>
      </c>
      <c r="L34" t="s">
        <v>30</v>
      </c>
      <c r="M34" t="s">
        <v>26</v>
      </c>
      <c r="N34" t="s">
        <v>27</v>
      </c>
      <c r="O34" t="s">
        <v>29</v>
      </c>
      <c r="P34" t="s">
        <v>18</v>
      </c>
      <c r="Q34" t="s">
        <v>23</v>
      </c>
      <c r="R34" t="s">
        <v>10</v>
      </c>
      <c r="S34" t="s">
        <v>13</v>
      </c>
      <c r="T34" t="s">
        <v>24</v>
      </c>
      <c r="U34" t="s">
        <v>9</v>
      </c>
      <c r="V34" t="s">
        <v>25</v>
      </c>
      <c r="W34" t="s">
        <v>22</v>
      </c>
      <c r="X34" t="s">
        <v>30</v>
      </c>
      <c r="Y34" t="s">
        <v>26</v>
      </c>
      <c r="Z34" t="s">
        <v>27</v>
      </c>
      <c r="AA34" t="s">
        <v>29</v>
      </c>
      <c r="AB34" t="s">
        <v>18</v>
      </c>
    </row>
    <row r="35" spans="5:28" x14ac:dyDescent="0.25">
      <c r="E35">
        <v>2</v>
      </c>
      <c r="F35">
        <v>5</v>
      </c>
      <c r="G35" t="s">
        <v>16</v>
      </c>
      <c r="H35">
        <v>2</v>
      </c>
      <c r="I35">
        <v>2</v>
      </c>
      <c r="J35">
        <f>SUM(F35-H35+I35)</f>
        <v>5</v>
      </c>
      <c r="K35">
        <v>3</v>
      </c>
      <c r="L35">
        <v>3</v>
      </c>
      <c r="M35">
        <f>SUM(K35:L35)*2</f>
        <v>12</v>
      </c>
      <c r="N35">
        <v>6</v>
      </c>
      <c r="O35">
        <f>N35+M35</f>
        <v>18</v>
      </c>
      <c r="P35">
        <f>ROUNDDOWN(O35/35,0)</f>
        <v>0</v>
      </c>
      <c r="Q35">
        <v>2</v>
      </c>
      <c r="R35">
        <v>5</v>
      </c>
      <c r="S35" t="s">
        <v>16</v>
      </c>
      <c r="T35">
        <v>2</v>
      </c>
      <c r="U35">
        <v>2</v>
      </c>
      <c r="V35">
        <f>SUM(R35-T35+U35)</f>
        <v>5</v>
      </c>
      <c r="W35">
        <f>S3*3</f>
        <v>9</v>
      </c>
      <c r="X35">
        <v>3</v>
      </c>
      <c r="Y35">
        <f>SUM(W35:X35)*2</f>
        <v>24</v>
      </c>
      <c r="Z35">
        <v>6</v>
      </c>
      <c r="AA35">
        <f>Z35+Y35</f>
        <v>30</v>
      </c>
      <c r="AB35">
        <f>ROUNDDOWN(AA35/35,0)</f>
        <v>0</v>
      </c>
    </row>
    <row r="36" spans="5:28" x14ac:dyDescent="0.25">
      <c r="E36">
        <v>2</v>
      </c>
      <c r="F36">
        <f>IF(J35+E36&gt;6,J35+E36-1,J35+E36)</f>
        <v>6</v>
      </c>
      <c r="G36" t="s">
        <v>8</v>
      </c>
      <c r="H36">
        <v>4</v>
      </c>
      <c r="I36">
        <v>0</v>
      </c>
      <c r="J36">
        <f>SUM(F36-H36+I36)</f>
        <v>2</v>
      </c>
      <c r="K36">
        <v>7</v>
      </c>
      <c r="L36">
        <v>3</v>
      </c>
      <c r="M36">
        <f>SUM(K36:L36)*2</f>
        <v>20</v>
      </c>
      <c r="N36">
        <v>6</v>
      </c>
      <c r="O36">
        <f t="shared" ref="O36:O40" si="32">O35+N36+M36</f>
        <v>44</v>
      </c>
      <c r="P36">
        <f t="shared" ref="P36:P41" si="33">ROUNDDOWN(O36/35,0)</f>
        <v>1</v>
      </c>
      <c r="Q36">
        <v>2</v>
      </c>
      <c r="R36">
        <f>IF(V35+Q36&gt;6,V35+Q36-1,V35+Q36)</f>
        <v>6</v>
      </c>
      <c r="S36" t="s">
        <v>8</v>
      </c>
      <c r="T36">
        <v>4</v>
      </c>
      <c r="U36">
        <v>0</v>
      </c>
      <c r="V36">
        <f>SUM(R36-T36+U36)</f>
        <v>2</v>
      </c>
      <c r="W36">
        <f>5+S3*2</f>
        <v>11</v>
      </c>
      <c r="X36">
        <v>3</v>
      </c>
      <c r="Y36">
        <f>SUM(W36:X36)*2</f>
        <v>28</v>
      </c>
      <c r="Z36">
        <v>6</v>
      </c>
      <c r="AA36">
        <f t="shared" ref="AA36:AA40" si="34">AA35+Z36+Y36</f>
        <v>64</v>
      </c>
      <c r="AB36">
        <f t="shared" ref="AB36:AB41" si="35">ROUNDDOWN(AA36/35,0)</f>
        <v>1</v>
      </c>
    </row>
    <row r="37" spans="5:28" x14ac:dyDescent="0.25">
      <c r="E37">
        <v>2</v>
      </c>
      <c r="F37">
        <f t="shared" ref="F37:F38" si="36">IF(J36+E37&gt;6,J36+E37-1,J36+E37)</f>
        <v>4</v>
      </c>
      <c r="G37" t="s">
        <v>8</v>
      </c>
      <c r="H37">
        <v>4</v>
      </c>
      <c r="I37">
        <v>0</v>
      </c>
      <c r="J37">
        <f t="shared" ref="J37:J41" si="37">SUM(F37-H37+I37)</f>
        <v>0</v>
      </c>
      <c r="K37">
        <v>7</v>
      </c>
      <c r="L37">
        <v>3</v>
      </c>
      <c r="M37">
        <f t="shared" ref="M37:M41" si="38">SUM(K37:L37)*2</f>
        <v>20</v>
      </c>
      <c r="N37">
        <v>12</v>
      </c>
      <c r="O37">
        <f t="shared" si="32"/>
        <v>76</v>
      </c>
      <c r="P37">
        <f t="shared" si="33"/>
        <v>2</v>
      </c>
      <c r="Q37">
        <v>2</v>
      </c>
      <c r="R37">
        <f t="shared" ref="R37:R38" si="39">IF(V36+Q37&gt;6,V36+Q37-1,V36+Q37)</f>
        <v>4</v>
      </c>
      <c r="S37" t="s">
        <v>8</v>
      </c>
      <c r="T37">
        <v>4</v>
      </c>
      <c r="U37">
        <v>0</v>
      </c>
      <c r="V37">
        <f t="shared" ref="V37:V41" si="40">SUM(R37-T37+U37)</f>
        <v>0</v>
      </c>
      <c r="W37">
        <f>5+S3*2</f>
        <v>11</v>
      </c>
      <c r="X37">
        <v>3</v>
      </c>
      <c r="Y37">
        <f t="shared" ref="Y37:Y40" si="41">SUM(W37:X37)*2</f>
        <v>28</v>
      </c>
      <c r="Z37">
        <v>12</v>
      </c>
      <c r="AA37">
        <f t="shared" si="34"/>
        <v>104</v>
      </c>
      <c r="AB37">
        <f t="shared" si="35"/>
        <v>2</v>
      </c>
    </row>
    <row r="38" spans="5:28" x14ac:dyDescent="0.25">
      <c r="E38">
        <v>2</v>
      </c>
      <c r="F38">
        <f t="shared" si="36"/>
        <v>2</v>
      </c>
      <c r="G38" t="s">
        <v>7</v>
      </c>
      <c r="H38">
        <v>0</v>
      </c>
      <c r="I38">
        <v>2</v>
      </c>
      <c r="J38">
        <f t="shared" si="37"/>
        <v>4</v>
      </c>
      <c r="K38">
        <v>2</v>
      </c>
      <c r="L38">
        <v>3</v>
      </c>
      <c r="M38">
        <f t="shared" si="38"/>
        <v>10</v>
      </c>
      <c r="N38">
        <v>6</v>
      </c>
      <c r="O38">
        <f t="shared" si="32"/>
        <v>92</v>
      </c>
      <c r="P38">
        <f t="shared" si="33"/>
        <v>2</v>
      </c>
      <c r="Q38">
        <v>2</v>
      </c>
      <c r="R38">
        <f t="shared" si="39"/>
        <v>2</v>
      </c>
      <c r="S38" t="s">
        <v>7</v>
      </c>
      <c r="T38">
        <v>0</v>
      </c>
      <c r="U38">
        <v>2</v>
      </c>
      <c r="V38">
        <f t="shared" si="40"/>
        <v>4</v>
      </c>
      <c r="W38">
        <f>S3*2</f>
        <v>6</v>
      </c>
      <c r="X38">
        <v>3</v>
      </c>
      <c r="Y38">
        <f t="shared" si="41"/>
        <v>18</v>
      </c>
      <c r="Z38">
        <v>6</v>
      </c>
      <c r="AA38">
        <f t="shared" si="34"/>
        <v>128</v>
      </c>
      <c r="AB38">
        <f t="shared" si="35"/>
        <v>3</v>
      </c>
    </row>
    <row r="39" spans="5:28" x14ac:dyDescent="0.25">
      <c r="E39">
        <v>2</v>
      </c>
      <c r="F39">
        <f>IF(J38+E39&gt;6,J38+E39-1,J38+E39)</f>
        <v>6</v>
      </c>
      <c r="G39" t="s">
        <v>8</v>
      </c>
      <c r="H39">
        <v>4</v>
      </c>
      <c r="I39">
        <v>0</v>
      </c>
      <c r="J39">
        <f t="shared" si="37"/>
        <v>2</v>
      </c>
      <c r="K39">
        <v>7</v>
      </c>
      <c r="L39">
        <v>3</v>
      </c>
      <c r="M39">
        <f t="shared" si="38"/>
        <v>20</v>
      </c>
      <c r="N39">
        <v>6</v>
      </c>
      <c r="O39">
        <f t="shared" si="32"/>
        <v>118</v>
      </c>
      <c r="P39">
        <f t="shared" si="33"/>
        <v>3</v>
      </c>
      <c r="Q39">
        <v>2</v>
      </c>
      <c r="R39">
        <f>IF(V38+Q39&gt;6,V38+Q39-1,V38+Q39)</f>
        <v>6</v>
      </c>
      <c r="S39" t="s">
        <v>8</v>
      </c>
      <c r="T39">
        <v>4</v>
      </c>
      <c r="U39">
        <v>0</v>
      </c>
      <c r="V39">
        <f t="shared" si="40"/>
        <v>2</v>
      </c>
      <c r="W39">
        <f>5+S3*2</f>
        <v>11</v>
      </c>
      <c r="X39">
        <v>3</v>
      </c>
      <c r="Y39">
        <f t="shared" si="41"/>
        <v>28</v>
      </c>
      <c r="Z39">
        <v>6</v>
      </c>
      <c r="AA39">
        <f t="shared" si="34"/>
        <v>162</v>
      </c>
      <c r="AB39">
        <f t="shared" si="35"/>
        <v>4</v>
      </c>
    </row>
    <row r="40" spans="5:28" x14ac:dyDescent="0.25">
      <c r="E40">
        <v>2</v>
      </c>
      <c r="F40">
        <f t="shared" ref="F40:F41" si="42">IF(J39+E40&gt;6,J39+E40-1,J39+E40)</f>
        <v>4</v>
      </c>
      <c r="G40" t="s">
        <v>8</v>
      </c>
      <c r="H40">
        <v>4</v>
      </c>
      <c r="I40">
        <v>0</v>
      </c>
      <c r="J40">
        <f t="shared" si="37"/>
        <v>0</v>
      </c>
      <c r="K40">
        <v>7</v>
      </c>
      <c r="L40">
        <v>3</v>
      </c>
      <c r="M40">
        <f t="shared" si="38"/>
        <v>20</v>
      </c>
      <c r="N40">
        <v>12</v>
      </c>
      <c r="O40">
        <f t="shared" si="32"/>
        <v>150</v>
      </c>
      <c r="P40">
        <f t="shared" si="33"/>
        <v>4</v>
      </c>
      <c r="Q40">
        <v>2</v>
      </c>
      <c r="R40">
        <f t="shared" ref="R40:R41" si="43">IF(V39+Q40&gt;6,V39+Q40-1,V39+Q40)</f>
        <v>4</v>
      </c>
      <c r="S40" t="s">
        <v>8</v>
      </c>
      <c r="T40">
        <v>4</v>
      </c>
      <c r="U40">
        <v>0</v>
      </c>
      <c r="V40">
        <f t="shared" si="40"/>
        <v>0</v>
      </c>
      <c r="W40">
        <f>5+S3*2</f>
        <v>11</v>
      </c>
      <c r="X40">
        <v>3</v>
      </c>
      <c r="Y40">
        <f t="shared" si="41"/>
        <v>28</v>
      </c>
      <c r="Z40">
        <v>12</v>
      </c>
      <c r="AA40">
        <f t="shared" si="34"/>
        <v>202</v>
      </c>
      <c r="AB40">
        <f t="shared" si="35"/>
        <v>5</v>
      </c>
    </row>
    <row r="41" spans="5:28" x14ac:dyDescent="0.25">
      <c r="E41">
        <v>2</v>
      </c>
      <c r="F41">
        <f t="shared" si="42"/>
        <v>2</v>
      </c>
      <c r="G41" t="s">
        <v>16</v>
      </c>
      <c r="H41">
        <v>2</v>
      </c>
      <c r="I41">
        <v>2</v>
      </c>
      <c r="J41">
        <f t="shared" si="37"/>
        <v>2</v>
      </c>
      <c r="K41">
        <v>2</v>
      </c>
      <c r="L41">
        <v>3</v>
      </c>
      <c r="M41">
        <f t="shared" si="38"/>
        <v>10</v>
      </c>
      <c r="N41">
        <v>6</v>
      </c>
      <c r="O41">
        <f>O40+N41+M41</f>
        <v>166</v>
      </c>
      <c r="P41">
        <f t="shared" si="33"/>
        <v>4</v>
      </c>
      <c r="Q41">
        <v>2</v>
      </c>
      <c r="R41">
        <f t="shared" si="43"/>
        <v>2</v>
      </c>
      <c r="S41" t="s">
        <v>16</v>
      </c>
      <c r="T41">
        <v>2</v>
      </c>
      <c r="U41">
        <v>2</v>
      </c>
      <c r="V41">
        <f t="shared" si="40"/>
        <v>2</v>
      </c>
      <c r="W41">
        <f>S3*2</f>
        <v>6</v>
      </c>
      <c r="X41">
        <v>3</v>
      </c>
      <c r="Y41">
        <f>SUM(W41:X41)*2</f>
        <v>18</v>
      </c>
      <c r="Z41">
        <v>6</v>
      </c>
      <c r="AA41">
        <f>AA40+Z41+Y41</f>
        <v>226</v>
      </c>
      <c r="AB41">
        <f t="shared" si="35"/>
        <v>6</v>
      </c>
    </row>
    <row r="43" spans="5:28" x14ac:dyDescent="0.25">
      <c r="M43">
        <f>K35+L35</f>
        <v>6</v>
      </c>
    </row>
    <row r="44" spans="5:28" x14ac:dyDescent="0.25">
      <c r="M44">
        <f t="shared" ref="M44:M49" si="44">K36+L36</f>
        <v>10</v>
      </c>
    </row>
    <row r="45" spans="5:28" x14ac:dyDescent="0.25">
      <c r="M45">
        <f t="shared" si="44"/>
        <v>10</v>
      </c>
    </row>
    <row r="46" spans="5:28" x14ac:dyDescent="0.25">
      <c r="M46">
        <f t="shared" si="44"/>
        <v>5</v>
      </c>
    </row>
    <row r="47" spans="5:28" x14ac:dyDescent="0.25">
      <c r="M47">
        <f t="shared" si="44"/>
        <v>10</v>
      </c>
    </row>
    <row r="48" spans="5:28" x14ac:dyDescent="0.25">
      <c r="M48">
        <f>K40+L40</f>
        <v>10</v>
      </c>
    </row>
    <row r="49" spans="13:13" x14ac:dyDescent="0.25">
      <c r="M49">
        <f t="shared" si="44"/>
        <v>5</v>
      </c>
    </row>
  </sheetData>
  <phoneticPr fontId="2" type="noConversion"/>
  <dataValidations count="1">
    <dataValidation type="list" allowBlank="1" showInputMessage="1" showErrorMessage="1" sqref="S3" xr:uid="{0597247A-406F-4945-8FE3-98DA8B53E560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7351-7405-405B-8B19-7C8352AA4050}">
  <dimension ref="A1:V30"/>
  <sheetViews>
    <sheetView topLeftCell="B16" workbookViewId="0">
      <selection activeCell="C30" sqref="C30"/>
    </sheetView>
  </sheetViews>
  <sheetFormatPr defaultRowHeight="15" x14ac:dyDescent="0.25"/>
  <cols>
    <col min="2" max="2" width="15.42578125" customWidth="1"/>
    <col min="6" max="6" width="9.85546875" bestFit="1" customWidth="1"/>
    <col min="7" max="7" width="21.85546875" bestFit="1" customWidth="1"/>
    <col min="9" max="9" width="10.42578125" bestFit="1" customWidth="1"/>
    <col min="11" max="11" width="11.5703125" bestFit="1" customWidth="1"/>
    <col min="12" max="12" width="10.5703125" bestFit="1" customWidth="1"/>
  </cols>
  <sheetData>
    <row r="1" spans="1:16" x14ac:dyDescent="0.25">
      <c r="A1" t="s">
        <v>20</v>
      </c>
      <c r="B1" s="6" t="s">
        <v>63</v>
      </c>
    </row>
    <row r="2" spans="1:16" x14ac:dyDescent="0.25">
      <c r="A2" t="s">
        <v>64</v>
      </c>
      <c r="E2" t="s">
        <v>1</v>
      </c>
    </row>
    <row r="3" spans="1:16" x14ac:dyDescent="0.25">
      <c r="A3" t="s">
        <v>32</v>
      </c>
      <c r="E3" t="s">
        <v>23</v>
      </c>
      <c r="F3" t="s">
        <v>10</v>
      </c>
      <c r="G3" t="s">
        <v>35</v>
      </c>
      <c r="H3" t="s">
        <v>13</v>
      </c>
      <c r="I3" t="s">
        <v>24</v>
      </c>
      <c r="J3" t="s">
        <v>34</v>
      </c>
      <c r="K3" t="s">
        <v>33</v>
      </c>
      <c r="L3" t="s">
        <v>29</v>
      </c>
      <c r="M3" t="s">
        <v>5</v>
      </c>
      <c r="N3" t="s">
        <v>18</v>
      </c>
    </row>
    <row r="4" spans="1:16" x14ac:dyDescent="0.25">
      <c r="E4">
        <v>0</v>
      </c>
      <c r="F4">
        <f>E4</f>
        <v>0</v>
      </c>
      <c r="G4">
        <v>2</v>
      </c>
      <c r="H4" t="s">
        <v>4</v>
      </c>
      <c r="I4">
        <v>0</v>
      </c>
      <c r="J4">
        <f>G4+F4-I4</f>
        <v>2</v>
      </c>
      <c r="K4">
        <v>2</v>
      </c>
      <c r="L4">
        <f>K4*3</f>
        <v>6</v>
      </c>
      <c r="M4">
        <f>L4</f>
        <v>6</v>
      </c>
      <c r="N4">
        <f>ROUNDDOWN(M4/35,0)</f>
        <v>0</v>
      </c>
    </row>
    <row r="5" spans="1:16" x14ac:dyDescent="0.25">
      <c r="E5">
        <f>J4</f>
        <v>2</v>
      </c>
      <c r="F5">
        <f>E5</f>
        <v>2</v>
      </c>
      <c r="G5">
        <v>2</v>
      </c>
      <c r="H5" t="s">
        <v>6</v>
      </c>
      <c r="I5">
        <v>0</v>
      </c>
      <c r="J5">
        <f>G5+F5-I5</f>
        <v>4</v>
      </c>
      <c r="K5">
        <v>2</v>
      </c>
      <c r="L5">
        <f t="shared" ref="L5:L10" si="0">K5*3</f>
        <v>6</v>
      </c>
      <c r="M5">
        <f>M4+L5</f>
        <v>12</v>
      </c>
      <c r="N5">
        <f t="shared" ref="N5:N10" si="1">ROUNDDOWN(M5/35,0)</f>
        <v>0</v>
      </c>
    </row>
    <row r="6" spans="1:16" x14ac:dyDescent="0.25">
      <c r="E6">
        <f t="shared" ref="E6:E10" si="2">J5</f>
        <v>4</v>
      </c>
      <c r="F6">
        <f t="shared" ref="F6:F10" si="3">E6</f>
        <v>4</v>
      </c>
      <c r="G6">
        <v>2</v>
      </c>
      <c r="H6" t="s">
        <v>7</v>
      </c>
      <c r="I6">
        <v>6</v>
      </c>
      <c r="J6">
        <f>G6+F6-I6</f>
        <v>0</v>
      </c>
      <c r="K6">
        <v>4</v>
      </c>
      <c r="L6">
        <f t="shared" si="0"/>
        <v>12</v>
      </c>
      <c r="M6">
        <f t="shared" ref="M6:M10" si="4">M5+L6</f>
        <v>24</v>
      </c>
      <c r="N6">
        <f t="shared" si="1"/>
        <v>0</v>
      </c>
      <c r="P6" t="s">
        <v>76</v>
      </c>
    </row>
    <row r="7" spans="1:16" x14ac:dyDescent="0.25">
      <c r="E7">
        <f t="shared" si="2"/>
        <v>0</v>
      </c>
      <c r="F7">
        <f t="shared" si="3"/>
        <v>0</v>
      </c>
      <c r="G7">
        <v>2</v>
      </c>
      <c r="H7" t="s">
        <v>4</v>
      </c>
      <c r="I7">
        <v>0</v>
      </c>
      <c r="J7">
        <f t="shared" ref="J7:J10" si="5">G7+F7-I7</f>
        <v>2</v>
      </c>
      <c r="K7">
        <v>2</v>
      </c>
      <c r="L7">
        <f t="shared" si="0"/>
        <v>6</v>
      </c>
      <c r="M7">
        <f t="shared" si="4"/>
        <v>30</v>
      </c>
      <c r="N7">
        <f>ROUNDDOWN(M7/35,0)</f>
        <v>0</v>
      </c>
    </row>
    <row r="8" spans="1:16" x14ac:dyDescent="0.25">
      <c r="E8">
        <f t="shared" si="2"/>
        <v>2</v>
      </c>
      <c r="F8">
        <f t="shared" si="3"/>
        <v>2</v>
      </c>
      <c r="G8">
        <v>2</v>
      </c>
      <c r="H8" t="s">
        <v>6</v>
      </c>
      <c r="I8">
        <v>0</v>
      </c>
      <c r="J8">
        <f t="shared" si="5"/>
        <v>4</v>
      </c>
      <c r="K8">
        <v>2</v>
      </c>
      <c r="L8">
        <f t="shared" si="0"/>
        <v>6</v>
      </c>
      <c r="M8">
        <f t="shared" si="4"/>
        <v>36</v>
      </c>
      <c r="N8">
        <f t="shared" si="1"/>
        <v>1</v>
      </c>
    </row>
    <row r="9" spans="1:16" x14ac:dyDescent="0.25">
      <c r="E9">
        <f t="shared" si="2"/>
        <v>4</v>
      </c>
      <c r="F9">
        <f t="shared" si="3"/>
        <v>4</v>
      </c>
      <c r="G9">
        <v>2</v>
      </c>
      <c r="H9" t="s">
        <v>7</v>
      </c>
      <c r="I9">
        <v>6</v>
      </c>
      <c r="J9">
        <f t="shared" si="5"/>
        <v>0</v>
      </c>
      <c r="K9">
        <v>4</v>
      </c>
      <c r="L9">
        <f t="shared" si="0"/>
        <v>12</v>
      </c>
      <c r="M9">
        <f t="shared" si="4"/>
        <v>48</v>
      </c>
      <c r="N9">
        <f t="shared" si="1"/>
        <v>1</v>
      </c>
      <c r="P9" t="s">
        <v>76</v>
      </c>
    </row>
    <row r="10" spans="1:16" x14ac:dyDescent="0.25">
      <c r="E10">
        <f t="shared" si="2"/>
        <v>0</v>
      </c>
      <c r="F10">
        <f t="shared" si="3"/>
        <v>0</v>
      </c>
      <c r="G10">
        <v>2</v>
      </c>
      <c r="H10" t="s">
        <v>4</v>
      </c>
      <c r="I10">
        <v>0</v>
      </c>
      <c r="J10">
        <f t="shared" si="5"/>
        <v>2</v>
      </c>
      <c r="K10">
        <v>2</v>
      </c>
      <c r="L10">
        <f t="shared" si="0"/>
        <v>6</v>
      </c>
      <c r="M10">
        <f t="shared" si="4"/>
        <v>54</v>
      </c>
      <c r="N10">
        <f t="shared" si="1"/>
        <v>1</v>
      </c>
    </row>
    <row r="11" spans="1:16" x14ac:dyDescent="0.25">
      <c r="A11" t="s">
        <v>65</v>
      </c>
    </row>
    <row r="12" spans="1:16" x14ac:dyDescent="0.25">
      <c r="E12" t="s">
        <v>17</v>
      </c>
    </row>
    <row r="13" spans="1:16" x14ac:dyDescent="0.25">
      <c r="E13" t="s">
        <v>23</v>
      </c>
      <c r="F13" t="s">
        <v>10</v>
      </c>
      <c r="G13" t="s">
        <v>35</v>
      </c>
      <c r="H13" t="s">
        <v>13</v>
      </c>
      <c r="I13" t="s">
        <v>24</v>
      </c>
      <c r="J13" t="s">
        <v>34</v>
      </c>
      <c r="K13" t="s">
        <v>33</v>
      </c>
      <c r="L13" t="s">
        <v>29</v>
      </c>
      <c r="M13" t="s">
        <v>5</v>
      </c>
      <c r="N13" t="s">
        <v>18</v>
      </c>
    </row>
    <row r="14" spans="1:16" x14ac:dyDescent="0.25">
      <c r="E14">
        <v>0</v>
      </c>
      <c r="F14">
        <f>E14</f>
        <v>0</v>
      </c>
      <c r="G14">
        <v>2</v>
      </c>
      <c r="H14" t="s">
        <v>4</v>
      </c>
      <c r="I14">
        <v>0</v>
      </c>
      <c r="J14">
        <f>G14+F14-I14</f>
        <v>2</v>
      </c>
      <c r="K14">
        <v>2</v>
      </c>
      <c r="L14">
        <f>K14*3</f>
        <v>6</v>
      </c>
      <c r="M14">
        <f>L14</f>
        <v>6</v>
      </c>
      <c r="N14">
        <f>ROUNDDOWN(M14/35,0)</f>
        <v>0</v>
      </c>
    </row>
    <row r="15" spans="1:16" x14ac:dyDescent="0.25">
      <c r="E15">
        <f>J14</f>
        <v>2</v>
      </c>
      <c r="F15">
        <f>E15</f>
        <v>2</v>
      </c>
      <c r="G15">
        <v>2</v>
      </c>
      <c r="H15" t="s">
        <v>6</v>
      </c>
      <c r="I15">
        <v>0</v>
      </c>
      <c r="J15">
        <f>G15+F15-I15</f>
        <v>4</v>
      </c>
      <c r="K15">
        <v>4</v>
      </c>
      <c r="L15">
        <f t="shared" ref="L15:L20" si="6">K15*3</f>
        <v>12</v>
      </c>
      <c r="M15">
        <f>M14+L15</f>
        <v>18</v>
      </c>
      <c r="N15">
        <f t="shared" ref="N15:N20" si="7">ROUNDDOWN(M15/35,0)</f>
        <v>0</v>
      </c>
    </row>
    <row r="16" spans="1:16" x14ac:dyDescent="0.25">
      <c r="E16">
        <f>J15</f>
        <v>4</v>
      </c>
      <c r="F16">
        <f>E16</f>
        <v>4</v>
      </c>
      <c r="G16">
        <v>2</v>
      </c>
      <c r="H16" t="s">
        <v>7</v>
      </c>
      <c r="I16">
        <v>4</v>
      </c>
      <c r="J16">
        <f>G16+F16-I16</f>
        <v>2</v>
      </c>
      <c r="K16">
        <v>2</v>
      </c>
      <c r="L16">
        <f t="shared" si="6"/>
        <v>6</v>
      </c>
      <c r="M16">
        <f t="shared" ref="M16:M20" si="8">M15+L16</f>
        <v>24</v>
      </c>
      <c r="N16">
        <f t="shared" si="7"/>
        <v>0</v>
      </c>
      <c r="P16" t="s">
        <v>76</v>
      </c>
    </row>
    <row r="17" spans="1:22" x14ac:dyDescent="0.25">
      <c r="E17">
        <f t="shared" ref="E17:E20" si="9">J16</f>
        <v>2</v>
      </c>
      <c r="F17">
        <f t="shared" ref="F17:F20" si="10">E17</f>
        <v>2</v>
      </c>
      <c r="G17">
        <v>2</v>
      </c>
      <c r="H17" t="s">
        <v>7</v>
      </c>
      <c r="I17">
        <v>4</v>
      </c>
      <c r="J17">
        <f t="shared" ref="J17:J20" si="11">G17+F17-I17</f>
        <v>0</v>
      </c>
      <c r="K17">
        <v>4</v>
      </c>
      <c r="L17">
        <f t="shared" si="6"/>
        <v>12</v>
      </c>
      <c r="M17">
        <f t="shared" si="8"/>
        <v>36</v>
      </c>
      <c r="N17">
        <f t="shared" si="7"/>
        <v>1</v>
      </c>
      <c r="P17" t="s">
        <v>75</v>
      </c>
    </row>
    <row r="18" spans="1:22" x14ac:dyDescent="0.25">
      <c r="E18">
        <f t="shared" si="9"/>
        <v>0</v>
      </c>
      <c r="F18">
        <f t="shared" si="10"/>
        <v>0</v>
      </c>
      <c r="G18">
        <v>2</v>
      </c>
      <c r="H18" t="s">
        <v>4</v>
      </c>
      <c r="I18">
        <v>0</v>
      </c>
      <c r="J18">
        <f t="shared" si="11"/>
        <v>2</v>
      </c>
      <c r="K18">
        <v>2</v>
      </c>
      <c r="L18">
        <f t="shared" si="6"/>
        <v>6</v>
      </c>
      <c r="M18">
        <f t="shared" si="8"/>
        <v>42</v>
      </c>
      <c r="N18">
        <f t="shared" si="7"/>
        <v>1</v>
      </c>
    </row>
    <row r="19" spans="1:22" x14ac:dyDescent="0.25">
      <c r="E19">
        <f t="shared" si="9"/>
        <v>2</v>
      </c>
      <c r="F19">
        <f t="shared" si="10"/>
        <v>2</v>
      </c>
      <c r="G19">
        <v>2</v>
      </c>
      <c r="H19" t="s">
        <v>7</v>
      </c>
      <c r="I19">
        <v>4</v>
      </c>
      <c r="J19">
        <f t="shared" si="11"/>
        <v>0</v>
      </c>
      <c r="K19">
        <v>4</v>
      </c>
      <c r="L19">
        <f t="shared" si="6"/>
        <v>12</v>
      </c>
      <c r="M19">
        <f t="shared" si="8"/>
        <v>54</v>
      </c>
      <c r="N19">
        <f t="shared" si="7"/>
        <v>1</v>
      </c>
      <c r="P19" t="s">
        <v>75</v>
      </c>
    </row>
    <row r="20" spans="1:22" x14ac:dyDescent="0.25">
      <c r="E20">
        <f t="shared" si="9"/>
        <v>0</v>
      </c>
      <c r="F20">
        <f t="shared" si="10"/>
        <v>0</v>
      </c>
      <c r="G20">
        <v>2</v>
      </c>
      <c r="H20" t="s">
        <v>4</v>
      </c>
      <c r="I20">
        <v>0</v>
      </c>
      <c r="J20">
        <f t="shared" si="11"/>
        <v>2</v>
      </c>
      <c r="K20">
        <v>2</v>
      </c>
      <c r="L20">
        <f t="shared" si="6"/>
        <v>6</v>
      </c>
      <c r="M20">
        <f t="shared" si="8"/>
        <v>60</v>
      </c>
      <c r="N20">
        <f t="shared" si="7"/>
        <v>1</v>
      </c>
    </row>
    <row r="21" spans="1:22" x14ac:dyDescent="0.25">
      <c r="A21" t="s">
        <v>66</v>
      </c>
    </row>
    <row r="22" spans="1:22" x14ac:dyDescent="0.25">
      <c r="E22" s="6" t="s">
        <v>19</v>
      </c>
      <c r="G22" t="s">
        <v>77</v>
      </c>
      <c r="K22" t="s">
        <v>78</v>
      </c>
      <c r="L22">
        <f>IFERROR('Blaze Calculations'!E5,0)</f>
        <v>3</v>
      </c>
    </row>
    <row r="23" spans="1:22" x14ac:dyDescent="0.25">
      <c r="E23" t="s">
        <v>23</v>
      </c>
      <c r="F23" t="s">
        <v>10</v>
      </c>
      <c r="G23" t="s">
        <v>35</v>
      </c>
      <c r="H23" t="s">
        <v>13</v>
      </c>
      <c r="I23" t="s">
        <v>24</v>
      </c>
      <c r="J23" t="s">
        <v>34</v>
      </c>
      <c r="K23" t="s">
        <v>33</v>
      </c>
      <c r="L23" t="s">
        <v>36</v>
      </c>
      <c r="M23" t="s">
        <v>29</v>
      </c>
      <c r="N23" t="s">
        <v>5</v>
      </c>
      <c r="O23" t="s">
        <v>18</v>
      </c>
      <c r="S23" t="s">
        <v>37</v>
      </c>
      <c r="T23" t="s">
        <v>38</v>
      </c>
      <c r="U23" t="s">
        <v>39</v>
      </c>
      <c r="V23" t="s">
        <v>18</v>
      </c>
    </row>
    <row r="24" spans="1:22" x14ac:dyDescent="0.25">
      <c r="E24">
        <v>0</v>
      </c>
      <c r="F24">
        <f>E24</f>
        <v>0</v>
      </c>
      <c r="G24">
        <v>2</v>
      </c>
      <c r="H24" t="s">
        <v>4</v>
      </c>
      <c r="I24">
        <v>0</v>
      </c>
      <c r="J24">
        <f>G24+F24-I24</f>
        <v>2</v>
      </c>
      <c r="K24">
        <v>2</v>
      </c>
      <c r="L24">
        <v>0</v>
      </c>
      <c r="M24">
        <f>SUM(K24:L24)*3</f>
        <v>6</v>
      </c>
      <c r="N24">
        <f>M24</f>
        <v>6</v>
      </c>
      <c r="O24">
        <f>ROUNDDOWN(N24/35,0)</f>
        <v>0</v>
      </c>
      <c r="R24" t="s">
        <v>2</v>
      </c>
      <c r="S24">
        <v>2</v>
      </c>
      <c r="T24">
        <v>6</v>
      </c>
      <c r="U24">
        <v>6</v>
      </c>
      <c r="V24">
        <v>0</v>
      </c>
    </row>
    <row r="25" spans="1:22" x14ac:dyDescent="0.25">
      <c r="B25" t="s">
        <v>86</v>
      </c>
      <c r="E25">
        <f>J24</f>
        <v>2</v>
      </c>
      <c r="F25">
        <f>E25</f>
        <v>2</v>
      </c>
      <c r="G25">
        <v>2</v>
      </c>
      <c r="H25" t="s">
        <v>7</v>
      </c>
      <c r="I25">
        <v>4</v>
      </c>
      <c r="J25">
        <f>G25+F25-I25</f>
        <v>0</v>
      </c>
      <c r="K25">
        <v>4</v>
      </c>
      <c r="L25">
        <f>$L$22</f>
        <v>3</v>
      </c>
      <c r="M25">
        <f>SUM(K25:L25)*3</f>
        <v>21</v>
      </c>
      <c r="N25">
        <f>N24+M25</f>
        <v>27</v>
      </c>
      <c r="O25">
        <f t="shared" ref="O25:O30" si="12">ROUNDDOWN(N25/35,0)</f>
        <v>0</v>
      </c>
      <c r="R25" t="s">
        <v>3</v>
      </c>
      <c r="S25">
        <f>2+(1+1+1+1)+2</f>
        <v>8</v>
      </c>
      <c r="T25">
        <f>S25*3+T24</f>
        <v>30</v>
      </c>
      <c r="U25">
        <v>30</v>
      </c>
      <c r="V25">
        <v>0</v>
      </c>
    </row>
    <row r="26" spans="1:22" x14ac:dyDescent="0.25">
      <c r="B26" t="s">
        <v>87</v>
      </c>
      <c r="C26">
        <f>IF('Blaze Calculations'!C8="V6",0,"")</f>
        <v>0</v>
      </c>
      <c r="E26">
        <f t="shared" ref="E26:E30" si="13">J25</f>
        <v>0</v>
      </c>
      <c r="F26">
        <f t="shared" ref="F26:F30" si="14">E26</f>
        <v>0</v>
      </c>
      <c r="G26">
        <v>2</v>
      </c>
      <c r="H26" t="s">
        <v>4</v>
      </c>
      <c r="I26">
        <v>0</v>
      </c>
      <c r="J26">
        <f>G26+F26-I26</f>
        <v>2</v>
      </c>
      <c r="K26">
        <v>2</v>
      </c>
      <c r="L26">
        <f>$L$22</f>
        <v>3</v>
      </c>
      <c r="M26">
        <f>SUM(K26:L26)*3</f>
        <v>15</v>
      </c>
      <c r="N26">
        <f t="shared" ref="N26:N30" si="15">N25+M26</f>
        <v>42</v>
      </c>
      <c r="O26">
        <f t="shared" si="12"/>
        <v>1</v>
      </c>
      <c r="P26">
        <f>N26-35</f>
        <v>7</v>
      </c>
      <c r="R26" t="s">
        <v>11</v>
      </c>
      <c r="S26">
        <f>(1+1)+(1+1+1+1)</f>
        <v>6</v>
      </c>
      <c r="T26">
        <f>S26*3+T25</f>
        <v>48</v>
      </c>
      <c r="U26">
        <v>13</v>
      </c>
      <c r="V26">
        <v>1</v>
      </c>
    </row>
    <row r="27" spans="1:22" x14ac:dyDescent="0.25">
      <c r="B27" s="25" t="s">
        <v>99</v>
      </c>
      <c r="C27">
        <f>IF('Blaze Calculations'!C8="V6",1,"")</f>
        <v>1</v>
      </c>
      <c r="E27">
        <f t="shared" si="13"/>
        <v>2</v>
      </c>
      <c r="F27">
        <f t="shared" si="14"/>
        <v>2</v>
      </c>
      <c r="G27">
        <v>2</v>
      </c>
      <c r="H27" t="s">
        <v>7</v>
      </c>
      <c r="I27">
        <v>4</v>
      </c>
      <c r="J27">
        <f t="shared" ref="J27:J30" si="16">G27+F27-I27</f>
        <v>0</v>
      </c>
      <c r="K27">
        <v>4</v>
      </c>
      <c r="L27">
        <f t="shared" ref="L27:L30" si="17">$L$22</f>
        <v>3</v>
      </c>
      <c r="M27">
        <f>SUM(K27:L27)*3</f>
        <v>21</v>
      </c>
      <c r="N27">
        <f t="shared" si="15"/>
        <v>63</v>
      </c>
      <c r="O27">
        <f t="shared" si="12"/>
        <v>1</v>
      </c>
      <c r="P27">
        <f>N27-35-35</f>
        <v>-7</v>
      </c>
      <c r="R27" t="s">
        <v>12</v>
      </c>
    </row>
    <row r="28" spans="1:22" x14ac:dyDescent="0.25">
      <c r="B28" s="25" t="s">
        <v>100</v>
      </c>
      <c r="C28">
        <f>IF('Blaze Calculations'!C8="V6",2,"")</f>
        <v>2</v>
      </c>
      <c r="E28">
        <f t="shared" si="13"/>
        <v>0</v>
      </c>
      <c r="F28">
        <f t="shared" si="14"/>
        <v>0</v>
      </c>
      <c r="G28">
        <v>2</v>
      </c>
      <c r="H28" t="s">
        <v>4</v>
      </c>
      <c r="I28">
        <v>0</v>
      </c>
      <c r="J28">
        <f t="shared" si="16"/>
        <v>2</v>
      </c>
      <c r="K28">
        <v>2</v>
      </c>
      <c r="L28">
        <f t="shared" si="17"/>
        <v>3</v>
      </c>
      <c r="M28">
        <f t="shared" ref="M28:M30" si="18">SUM(K28:L28)*3</f>
        <v>15</v>
      </c>
      <c r="N28">
        <f t="shared" si="15"/>
        <v>78</v>
      </c>
      <c r="O28">
        <f t="shared" si="12"/>
        <v>2</v>
      </c>
      <c r="P28">
        <f>N28-35-35</f>
        <v>8</v>
      </c>
      <c r="R28" t="s">
        <v>21</v>
      </c>
    </row>
    <row r="29" spans="1:22" x14ac:dyDescent="0.25">
      <c r="E29">
        <f t="shared" si="13"/>
        <v>2</v>
      </c>
      <c r="F29">
        <f t="shared" si="14"/>
        <v>2</v>
      </c>
      <c r="G29">
        <v>2</v>
      </c>
      <c r="H29" t="s">
        <v>7</v>
      </c>
      <c r="I29">
        <v>4</v>
      </c>
      <c r="J29">
        <f t="shared" si="16"/>
        <v>0</v>
      </c>
      <c r="K29">
        <v>4</v>
      </c>
      <c r="L29">
        <f t="shared" si="17"/>
        <v>3</v>
      </c>
      <c r="M29">
        <f>SUM(K29:L29)*3</f>
        <v>21</v>
      </c>
      <c r="N29">
        <f t="shared" si="15"/>
        <v>99</v>
      </c>
      <c r="O29">
        <f t="shared" si="12"/>
        <v>2</v>
      </c>
      <c r="P29">
        <f>N29-35-35-35</f>
        <v>-6</v>
      </c>
      <c r="R29" t="s">
        <v>14</v>
      </c>
    </row>
    <row r="30" spans="1:22" x14ac:dyDescent="0.25">
      <c r="E30">
        <f t="shared" si="13"/>
        <v>0</v>
      </c>
      <c r="F30">
        <f t="shared" si="14"/>
        <v>0</v>
      </c>
      <c r="G30">
        <v>2</v>
      </c>
      <c r="H30" t="s">
        <v>4</v>
      </c>
      <c r="I30">
        <v>0</v>
      </c>
      <c r="J30">
        <f t="shared" si="16"/>
        <v>2</v>
      </c>
      <c r="K30">
        <v>2</v>
      </c>
      <c r="L30">
        <f t="shared" si="17"/>
        <v>3</v>
      </c>
      <c r="M30">
        <f t="shared" si="18"/>
        <v>15</v>
      </c>
      <c r="N30">
        <f t="shared" si="15"/>
        <v>114</v>
      </c>
      <c r="O30">
        <f t="shared" si="12"/>
        <v>3</v>
      </c>
      <c r="P30">
        <f>N30-35-35-35</f>
        <v>9</v>
      </c>
      <c r="R30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Blaze Calculations</vt:lpstr>
      <vt:lpstr>Blaze Stacking Data</vt:lpstr>
      <vt:lpstr>Sakura Conf. Index</vt:lpstr>
      <vt:lpstr>Lewis Conf.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2026-01-05T02:17:51Z</dcterms:created>
  <dcterms:modified xsi:type="dcterms:W3CDTF">2026-06-05T07:03:58Z</dcterms:modified>
</cp:coreProperties>
</file>